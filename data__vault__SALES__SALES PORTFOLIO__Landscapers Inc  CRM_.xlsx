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MAINTENANCE" sheetId="1" r:id="rId4"/>
    <sheet state="visible" name="CRM ADHOC" sheetId="2" r:id="rId5"/>
  </sheets>
  <definedNames>
    <definedName hidden="1" localSheetId="0" name="_xlnm._FilterDatabase">'CRM MAINTENANCE'!$A$1:$Z$58</definedName>
  </definedNames>
  <calcPr/>
  <extLst>
    <ext uri="GoogleSheetsCustomDataVersion2">
      <go:sheetsCustomData xmlns:go="http://customooxmlschemas.google.com/" r:id="rId6" roundtripDataChecksum="QkxYLsfqszQbv37+Nkzy9RZGrgJvT+3RO+9CgRm81tg="/>
    </ext>
  </extLst>
</workbook>
</file>

<file path=xl/sharedStrings.xml><?xml version="1.0" encoding="utf-8"?>
<sst xmlns="http://schemas.openxmlformats.org/spreadsheetml/2006/main" count="764" uniqueCount="324">
  <si>
    <t>Client ID</t>
  </si>
  <si>
    <t>Contact Person</t>
  </si>
  <si>
    <t>Company Name</t>
  </si>
  <si>
    <t>Position</t>
  </si>
  <si>
    <t>Mobile Number</t>
  </si>
  <si>
    <t>Email Address</t>
  </si>
  <si>
    <t>Physical Address</t>
  </si>
  <si>
    <t>Service Type</t>
  </si>
  <si>
    <t>Contract Type</t>
  </si>
  <si>
    <t>Contract Value (R/month)</t>
  </si>
  <si>
    <t>Per visit</t>
  </si>
  <si>
    <t>Status</t>
  </si>
  <si>
    <t>Google Drive Client Folder Link</t>
  </si>
  <si>
    <t>Notes</t>
  </si>
  <si>
    <t>GN003</t>
  </si>
  <si>
    <t>Gracy Naidoo</t>
  </si>
  <si>
    <t>N/A</t>
  </si>
  <si>
    <t>0824957494</t>
  </si>
  <si>
    <t xml:space="preserve">5, 11th way , Campbells Town </t>
  </si>
  <si>
    <t>GARDEN MAINTENANCE</t>
  </si>
  <si>
    <t xml:space="preserve">Deposit </t>
  </si>
  <si>
    <t>Work Value (R/month)</t>
  </si>
  <si>
    <t>FORTNIGHT</t>
  </si>
  <si>
    <t>Salesperson</t>
  </si>
  <si>
    <t>Type of work</t>
  </si>
  <si>
    <t>GA024</t>
  </si>
  <si>
    <t>Patsey A</t>
  </si>
  <si>
    <t>0760630400</t>
  </si>
  <si>
    <t>gerald@pinionadams.co.za</t>
  </si>
  <si>
    <t>25 Portland Drive</t>
  </si>
  <si>
    <t>WEEKLY</t>
  </si>
  <si>
    <t>RENESH</t>
  </si>
  <si>
    <t xml:space="preserve">INVOICE SENT </t>
  </si>
  <si>
    <t>CLOSED PAID</t>
  </si>
  <si>
    <t>ACTIVE</t>
  </si>
  <si>
    <t>Lawn dressing application.</t>
  </si>
  <si>
    <t>BCN006</t>
  </si>
  <si>
    <t>VL034</t>
  </si>
  <si>
    <t>Brenton Naidoo</t>
  </si>
  <si>
    <t>Vijay Lalloo</t>
  </si>
  <si>
    <t>0837756709</t>
  </si>
  <si>
    <t>0848772847</t>
  </si>
  <si>
    <t>vglalloo@mweb.co.za</t>
  </si>
  <si>
    <t>11 Montgomery Drive</t>
  </si>
  <si>
    <t>brentnaidoo1@gmail.com</t>
  </si>
  <si>
    <t>GARDEN MAINTENANCE &amp; POOL</t>
  </si>
  <si>
    <t xml:space="preserve">61 Gaurdbrige Gardens </t>
  </si>
  <si>
    <t>Lawn laying Berea LM Grass</t>
  </si>
  <si>
    <t>JM005</t>
  </si>
  <si>
    <t>CP035</t>
  </si>
  <si>
    <t xml:space="preserve">Joash Moodley </t>
  </si>
  <si>
    <t>Chico Premjee</t>
  </si>
  <si>
    <t>0847761802</t>
  </si>
  <si>
    <t>0835005001</t>
  </si>
  <si>
    <t xml:space="preserve">24 Clayfield Drive </t>
  </si>
  <si>
    <t>Chico@premjis.co.za</t>
  </si>
  <si>
    <t>19 Hawthorn Drive</t>
  </si>
  <si>
    <t>MH040</t>
  </si>
  <si>
    <t>Matthew Huber</t>
  </si>
  <si>
    <t>0825994627</t>
  </si>
  <si>
    <t xml:space="preserve"> ebguesthouse@gmail.com</t>
  </si>
  <si>
    <t>29 Sienna</t>
  </si>
  <si>
    <t>SS006</t>
  </si>
  <si>
    <t>Shanene Sathoo</t>
  </si>
  <si>
    <t>0826144624</t>
  </si>
  <si>
    <t xml:space="preserve">49 Ranmoor Crescent </t>
  </si>
  <si>
    <t>Removal of wooden structure</t>
  </si>
  <si>
    <t>JB056</t>
  </si>
  <si>
    <t>Jinny</t>
  </si>
  <si>
    <t>PC007</t>
  </si>
  <si>
    <t>Praba  Callakoppen</t>
  </si>
  <si>
    <t>0787324393</t>
  </si>
  <si>
    <t>0832886226</t>
  </si>
  <si>
    <t>jbtb2010@gmail.com</t>
  </si>
  <si>
    <t>4 Troon Place</t>
  </si>
  <si>
    <t>15 Petunia Close, Verulam</t>
  </si>
  <si>
    <t>ONCE</t>
  </si>
  <si>
    <t>ANTHONY</t>
  </si>
  <si>
    <t>Garden Design</t>
  </si>
  <si>
    <t>VN057</t>
  </si>
  <si>
    <t>Vireshnee Naidoo</t>
  </si>
  <si>
    <t>0716742993</t>
  </si>
  <si>
    <t>DG008</t>
  </si>
  <si>
    <t xml:space="preserve">Divishen Govender </t>
  </si>
  <si>
    <t>vireshneenaidoo@gmail.com</t>
  </si>
  <si>
    <t>30 Izinga Drive</t>
  </si>
  <si>
    <t>0825523434</t>
  </si>
  <si>
    <t xml:space="preserve">N/A Wayne to covert </t>
  </si>
  <si>
    <t xml:space="preserve">Forestclay </t>
  </si>
  <si>
    <t>WAYNE</t>
  </si>
  <si>
    <t>RS009</t>
  </si>
  <si>
    <t>Ruth  Singh</t>
  </si>
  <si>
    <t>0835578792</t>
  </si>
  <si>
    <t xml:space="preserve">31 Forestclay Gardens </t>
  </si>
  <si>
    <t>MOVE TO TWICE A MONTH IN DECEMBER</t>
  </si>
  <si>
    <t>VR009</t>
  </si>
  <si>
    <t>Vanishree  Ramkuvar</t>
  </si>
  <si>
    <t>0848759119</t>
  </si>
  <si>
    <t xml:space="preserve">4, 11th way , Campbells Town </t>
  </si>
  <si>
    <t>Wayne</t>
  </si>
  <si>
    <t>Pressure cleaning</t>
  </si>
  <si>
    <t>SS007</t>
  </si>
  <si>
    <t>N011</t>
  </si>
  <si>
    <t>Ndumiso</t>
  </si>
  <si>
    <t>0826144625</t>
  </si>
  <si>
    <t>0724268642</t>
  </si>
  <si>
    <t>66 Marion ave</t>
  </si>
  <si>
    <t xml:space="preserve">19 Ilchester </t>
  </si>
  <si>
    <t>AWAITING PAYMENT</t>
  </si>
  <si>
    <t>MF012</t>
  </si>
  <si>
    <t>Mervin/Fiona</t>
  </si>
  <si>
    <t>Tree felling</t>
  </si>
  <si>
    <t>0608464165</t>
  </si>
  <si>
    <t>2, 14th way, Campbells Town</t>
  </si>
  <si>
    <t>JK013</t>
  </si>
  <si>
    <t>Jacques Klynsmith</t>
  </si>
  <si>
    <t>0836014727</t>
  </si>
  <si>
    <t>jklynsmith@iafrica.com</t>
  </si>
  <si>
    <t>7 Sienna Estate/ 19 David</t>
  </si>
  <si>
    <t>AM014</t>
  </si>
  <si>
    <t>Aston Moodley</t>
  </si>
  <si>
    <t>0737547850</t>
  </si>
  <si>
    <t>moodleyashton@gmail.com</t>
  </si>
  <si>
    <t>6 Lemon Street GA</t>
  </si>
  <si>
    <t>ES015</t>
  </si>
  <si>
    <t>Evan Sim</t>
  </si>
  <si>
    <t>0726305317</t>
  </si>
  <si>
    <t>evan.sim@outlook.com</t>
  </si>
  <si>
    <t>8 Sienna</t>
  </si>
  <si>
    <t>MZ016</t>
  </si>
  <si>
    <t>Meryl Zeidler</t>
  </si>
  <si>
    <t>0828711465</t>
  </si>
  <si>
    <t>merylzeidler@gmail.com</t>
  </si>
  <si>
    <t>11 Sienna</t>
  </si>
  <si>
    <t>@8AM FRIDAY</t>
  </si>
  <si>
    <t>SL017</t>
  </si>
  <si>
    <t>Shailen Latchanna</t>
  </si>
  <si>
    <t>0844418431</t>
  </si>
  <si>
    <t>latchanna5@yahoo.com</t>
  </si>
  <si>
    <t>28 Sienna</t>
  </si>
  <si>
    <t>VC044</t>
  </si>
  <si>
    <t>Vicky Commaille</t>
  </si>
  <si>
    <t>0723356332</t>
  </si>
  <si>
    <t xml:space="preserve">vickyc@grindrod.co.za </t>
  </si>
  <si>
    <t>25 Sienna</t>
  </si>
  <si>
    <t>JP018</t>
  </si>
  <si>
    <t>Jordan Pillay</t>
  </si>
  <si>
    <t>0834615991</t>
  </si>
  <si>
    <t>jordanpillay8@gmail.com</t>
  </si>
  <si>
    <t>8 Yale Crescent</t>
  </si>
  <si>
    <t>CM019</t>
  </si>
  <si>
    <t>Chris Moodley</t>
  </si>
  <si>
    <t>0836475375</t>
  </si>
  <si>
    <t>Chris.moodley@icloud.com</t>
  </si>
  <si>
    <t>140 Marine View Avenue</t>
  </si>
  <si>
    <t>PSR020</t>
  </si>
  <si>
    <t>PS Reddy</t>
  </si>
  <si>
    <t>0739185120</t>
  </si>
  <si>
    <t>reddyp1@ukzn.ac.za</t>
  </si>
  <si>
    <t xml:space="preserve">20 Carron Glen Estate  </t>
  </si>
  <si>
    <t>RW021</t>
  </si>
  <si>
    <t>Richard Warren</t>
  </si>
  <si>
    <t>0832670473</t>
  </si>
  <si>
    <t>rwarrensa@gmail.com</t>
  </si>
  <si>
    <t>33 Sienna</t>
  </si>
  <si>
    <t>NZ022</t>
  </si>
  <si>
    <t>Niki Zungu</t>
  </si>
  <si>
    <t>0799699151</t>
  </si>
  <si>
    <t xml:space="preserve">nikizungu@gmail.com </t>
  </si>
  <si>
    <t>10A Redwood Crec, Glen Anil</t>
  </si>
  <si>
    <t>KP023</t>
  </si>
  <si>
    <t>Kevin Pillay</t>
  </si>
  <si>
    <t>0833468957</t>
  </si>
  <si>
    <t>Kevin.pillay1984@gmail.com</t>
  </si>
  <si>
    <t>19 Homeford Drive La Lucia</t>
  </si>
  <si>
    <t>CL025</t>
  </si>
  <si>
    <t>Chris Lever</t>
  </si>
  <si>
    <t>christracey@telkomsa.net</t>
  </si>
  <si>
    <t>17 Carron Glen Estate</t>
  </si>
  <si>
    <t>CC026</t>
  </si>
  <si>
    <t>Carol Conversano</t>
  </si>
  <si>
    <t>0731106039</t>
  </si>
  <si>
    <t>caroleconversano@yahoo.com</t>
  </si>
  <si>
    <t>10 Sienna estate</t>
  </si>
  <si>
    <t>OVERSEAS AT THE MOMENT (05/08/2026)</t>
  </si>
  <si>
    <t>CG027</t>
  </si>
  <si>
    <t xml:space="preserve">Clive Grewan </t>
  </si>
  <si>
    <t>0833218185</t>
  </si>
  <si>
    <t xml:space="preserve"> grewance@gmail.com</t>
  </si>
  <si>
    <t>281 Randles Road Sparks</t>
  </si>
  <si>
    <t>DS028</t>
  </si>
  <si>
    <t>Daine Smit</t>
  </si>
  <si>
    <t>0765440712</t>
  </si>
  <si>
    <t>dainesmit@gmail.com</t>
  </si>
  <si>
    <t>51 Ebony Drive</t>
  </si>
  <si>
    <t>JH029</t>
  </si>
  <si>
    <t>John Hilliar</t>
  </si>
  <si>
    <t>0825660004</t>
  </si>
  <si>
    <t>jonhilliar@gmail.com</t>
  </si>
  <si>
    <t>16 Saint Andrews Drive</t>
  </si>
  <si>
    <t>F030</t>
  </si>
  <si>
    <t>Fiona</t>
  </si>
  <si>
    <t>0691046845</t>
  </si>
  <si>
    <t>inky@wol.co.za</t>
  </si>
  <si>
    <t>104 Forest Drive, La Lucia</t>
  </si>
  <si>
    <t>SM031</t>
  </si>
  <si>
    <t>Sabrina Maingard</t>
  </si>
  <si>
    <t>0832925330</t>
  </si>
  <si>
    <t>sabrina@sabrinamaingard.co.za</t>
  </si>
  <si>
    <t>10 Everton Circle</t>
  </si>
  <si>
    <t>SG032</t>
  </si>
  <si>
    <t>Stephen Garreau</t>
  </si>
  <si>
    <t>0824615819</t>
  </si>
  <si>
    <t xml:space="preserve"> Stephen.garreau@gmail.com</t>
  </si>
  <si>
    <t xml:space="preserve">91 Merrick Hills </t>
  </si>
  <si>
    <t>CCP033</t>
  </si>
  <si>
    <t>Ismail Snupit</t>
  </si>
  <si>
    <t>ACCUMIN</t>
  </si>
  <si>
    <t>Trustee</t>
  </si>
  <si>
    <t>0837860675</t>
  </si>
  <si>
    <t>tracy@accumin.co.za</t>
  </si>
  <si>
    <t>12 Illcester Avenue</t>
  </si>
  <si>
    <t>POOL</t>
  </si>
  <si>
    <t>RB035</t>
  </si>
  <si>
    <t>Realty Batsalani</t>
  </si>
  <si>
    <t>realty@batsalani.com</t>
  </si>
  <si>
    <t>27 Caroline Vista</t>
  </si>
  <si>
    <t>NO CUTTING UNLESS ABSOLUTELY REQUIRED.</t>
  </si>
  <si>
    <t>HSBC001</t>
  </si>
  <si>
    <t xml:space="preserve">Losh Naidoo </t>
  </si>
  <si>
    <t>Trafalgar</t>
  </si>
  <si>
    <t>Maintanance Manager</t>
  </si>
  <si>
    <t>0842059308</t>
  </si>
  <si>
    <t>jacqueline@trafalgar.co.za</t>
  </si>
  <si>
    <t xml:space="preserve">1 Autumn Drive </t>
  </si>
  <si>
    <t>MP036</t>
  </si>
  <si>
    <t>Reach Park</t>
  </si>
  <si>
    <t>Maxprop</t>
  </si>
  <si>
    <t>BerniceC@maxprop.solutions/LucyM@maxprop.solutions/sanchiah@maxprop.solutions</t>
  </si>
  <si>
    <t>28 Cordova Close</t>
  </si>
  <si>
    <t>W037</t>
  </si>
  <si>
    <t>Rubber Factory</t>
  </si>
  <si>
    <t>Wakefields</t>
  </si>
  <si>
    <t>0826359621</t>
  </si>
  <si>
    <t>Ree.Ngcobo@wakeprop.co.za</t>
  </si>
  <si>
    <t>70 Sneezewood</t>
  </si>
  <si>
    <t>PDW038</t>
  </si>
  <si>
    <t>Paul Darby-Wade</t>
  </si>
  <si>
    <t>0825035059</t>
  </si>
  <si>
    <t>darbywade@mweb.co.za</t>
  </si>
  <si>
    <t xml:space="preserve">5 Carron Glen Estate </t>
  </si>
  <si>
    <t>LG041</t>
  </si>
  <si>
    <t>Lutchmee Guruvadu</t>
  </si>
  <si>
    <t>0691315387</t>
  </si>
  <si>
    <t>anthonyguruvadu@gmail.com</t>
  </si>
  <si>
    <t>57 Forestclay Gardens</t>
  </si>
  <si>
    <t>LW039</t>
  </si>
  <si>
    <t>Lillian Wu</t>
  </si>
  <si>
    <t>0828067234</t>
  </si>
  <si>
    <t xml:space="preserve"> lijung1090@icloud.com</t>
  </si>
  <si>
    <t>4 Berkeley Cres</t>
  </si>
  <si>
    <t>@8AM WEDNESDAY</t>
  </si>
  <si>
    <t>CGE048</t>
  </si>
  <si>
    <t>Carron Glen Estate</t>
  </si>
  <si>
    <t>Attlee Agency</t>
  </si>
  <si>
    <t>0847058140</t>
  </si>
  <si>
    <t>lityshac@attlee.co.za</t>
  </si>
  <si>
    <t>DAILY</t>
  </si>
  <si>
    <t>AS002</t>
  </si>
  <si>
    <t>Handsworth estate</t>
  </si>
  <si>
    <t>Rise &amp; Shine</t>
  </si>
  <si>
    <t>0839400302</t>
  </si>
  <si>
    <t>rslandscape8@gmail.com</t>
  </si>
  <si>
    <t>Berea</t>
  </si>
  <si>
    <t xml:space="preserve">Kindles Estate </t>
  </si>
  <si>
    <t xml:space="preserve">Broadlands </t>
  </si>
  <si>
    <t>Callaway Estate</t>
  </si>
  <si>
    <t>Mount Edgecombe</t>
  </si>
  <si>
    <t>Gary's Office</t>
  </si>
  <si>
    <t>GN045</t>
  </si>
  <si>
    <t>Gashin Naidoo</t>
  </si>
  <si>
    <t>0739678626</t>
  </si>
  <si>
    <t>gashin@khulanathilogistics.com</t>
  </si>
  <si>
    <t xml:space="preserve">26 Shepstone Road </t>
  </si>
  <si>
    <t>R046</t>
  </si>
  <si>
    <t xml:space="preserve">Ryan </t>
  </si>
  <si>
    <t>0845024513</t>
  </si>
  <si>
    <t xml:space="preserve">1 Kindles </t>
  </si>
  <si>
    <t>NG047</t>
  </si>
  <si>
    <t>Nanoo Govender</t>
  </si>
  <si>
    <t>0837968539</t>
  </si>
  <si>
    <t>13 Kindles</t>
  </si>
  <si>
    <t>S051</t>
  </si>
  <si>
    <t xml:space="preserve">Shain </t>
  </si>
  <si>
    <t>0727773124</t>
  </si>
  <si>
    <t>3 Yale Cres</t>
  </si>
  <si>
    <t>PN052</t>
  </si>
  <si>
    <t>Pregs Naidoo</t>
  </si>
  <si>
    <t>0823256906</t>
  </si>
  <si>
    <t>accounts@naidoolaw.net</t>
  </si>
  <si>
    <t>25 Carolina Vista</t>
  </si>
  <si>
    <t>DN042</t>
  </si>
  <si>
    <t>Daulat Nathoo</t>
  </si>
  <si>
    <t>0837779125</t>
  </si>
  <si>
    <t>nathoodaulat@gmail.com</t>
  </si>
  <si>
    <t xml:space="preserve">13 Montgomery </t>
  </si>
  <si>
    <t>SS055</t>
  </si>
  <si>
    <t>Sanjay Sookdeo</t>
  </si>
  <si>
    <t>0828216818</t>
  </si>
  <si>
    <t>3 Kindles</t>
  </si>
  <si>
    <t>L056</t>
  </si>
  <si>
    <t>Loshni</t>
  </si>
  <si>
    <t>0833001355</t>
  </si>
  <si>
    <t>10 Leadwood Loop Zimbali/ Hawaan estate</t>
  </si>
  <si>
    <t>K057</t>
  </si>
  <si>
    <t>Kevin</t>
  </si>
  <si>
    <t>0699848937</t>
  </si>
  <si>
    <t>16 Somerset drive</t>
  </si>
  <si>
    <t>CJ058</t>
  </si>
  <si>
    <t>Lavish</t>
  </si>
  <si>
    <t>Property Manager</t>
  </si>
  <si>
    <t>0631467625</t>
  </si>
  <si>
    <t>reception@eastrandbulk.com</t>
  </si>
  <si>
    <t>38 on the lakes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</si>
</sst>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10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434343"/>
      <name val="Roboto"/>
    </font>
    <font>
      <sz val="10.0"/>
      <color rgb="FF161D1E"/>
      <name val="Roboto"/>
    </font>
    <font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Calibri"/>
    </font>
    <font>
      <u/>
      <sz val="11.0"/>
      <color rgb="FF222222"/>
      <name val="Calibri"/>
    </font>
    <font>
      <u/>
      <sz val="11.0"/>
      <color rgb="FF222222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ill="1" applyFont="1" applyNumberFormat="1"/>
    <xf borderId="0" fillId="2" fontId="1" numFmtId="164" xfId="0" applyFill="1" applyFont="1" applyNumberFormat="1"/>
    <xf borderId="0" fillId="2" fontId="1" numFmtId="164" xfId="0" applyAlignment="1" applyFill="1" applyFont="1" applyNumberFormat="1">
      <alignment readingOrder="0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3" fontId="2" numFmtId="49" xfId="0" applyFill="1" applyFont="1" applyNumberFormat="1"/>
    <xf borderId="0" fillId="3" fontId="3" numFmtId="0" xfId="0" applyAlignment="1" applyFill="1" applyFont="1">
      <alignment shrinkToFit="0" wrapText="0"/>
    </xf>
    <xf borderId="0" fillId="3" fontId="3" numFmtId="164" xfId="0" applyAlignment="1" applyFill="1" applyFont="1" applyNumberFormat="1">
      <alignment shrinkToFit="0" wrapText="0"/>
    </xf>
    <xf borderId="0" fillId="0" fontId="2" numFmtId="0" xfId="0" applyFont="1"/>
    <xf borderId="0" fillId="0" fontId="2" numFmtId="49" xfId="0" applyFont="1" applyNumberFormat="1"/>
    <xf borderId="0" fillId="3" fontId="3" numFmtId="0" xfId="0" applyAlignment="1" applyFill="1" applyFont="1">
      <alignment shrinkToFit="0" wrapText="0"/>
    </xf>
    <xf borderId="0" fillId="0" fontId="2" numFmtId="164" xfId="0" applyFont="1" applyNumberFormat="1"/>
    <xf borderId="0" fillId="3" fontId="3" numFmtId="164" xfId="0" applyAlignment="1" applyFill="1" applyFont="1" applyNumberFormat="1">
      <alignment shrinkToFit="0" wrapText="0"/>
    </xf>
    <xf borderId="0" fillId="0" fontId="2" numFmtId="0" xfId="0" applyAlignment="1" applyFont="1">
      <alignment readingOrder="0"/>
    </xf>
    <xf borderId="0" fillId="4" fontId="2" numFmtId="0" xfId="0" applyFill="1" applyFont="1"/>
    <xf borderId="0" fillId="4" fontId="2" numFmtId="49" xfId="0" applyFill="1" applyFont="1" applyNumberFormat="1"/>
    <xf borderId="0" fillId="4" fontId="3" numFmtId="0" xfId="0" applyAlignment="1" applyFill="1" applyFont="1">
      <alignment shrinkToFit="0" wrapText="0"/>
    </xf>
    <xf borderId="0" fillId="4" fontId="3" numFmtId="164" xfId="0" applyAlignment="1" applyFill="1" applyFont="1" applyNumberFormat="1">
      <alignment shrinkToFit="0" wrapText="0"/>
    </xf>
    <xf borderId="0" fillId="0" fontId="4" numFmtId="0" xfId="0" applyAlignment="1" applyFont="1">
      <alignment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readingOrder="0" shrinkToFit="0" wrapText="0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0" fillId="3" fontId="2" numFmtId="0" xfId="0" applyAlignment="1" applyFill="1" applyFont="1">
      <alignment readingOrder="0"/>
    </xf>
    <xf borderId="0" fillId="3" fontId="3" numFmtId="164" xfId="0" applyAlignment="1" applyFill="1" applyFont="1" applyNumberFormat="1">
      <alignment readingOrder="0" shrinkToFit="0" wrapText="0"/>
    </xf>
    <xf borderId="0" fillId="4" fontId="3" numFmtId="164" xfId="0" applyAlignment="1" applyFill="1" applyFont="1" applyNumberFormat="1">
      <alignment readingOrder="0" shrinkToFit="0" wrapText="0"/>
    </xf>
    <xf borderId="0" fillId="3" fontId="8" numFmtId="49" xfId="0" applyFill="1" applyFont="1" applyNumberFormat="1"/>
    <xf borderId="0" fillId="3" fontId="9" numFmtId="0" xfId="0" applyFill="1" applyFont="1"/>
    <xf borderId="0" fillId="4" fontId="2" numFmtId="0" xfId="0" applyAlignment="1" applyFill="1" applyFont="1">
      <alignment readingOrder="0"/>
    </xf>
    <xf borderId="0" fillId="4" fontId="2" numFmtId="49" xfId="0" applyAlignment="1" applyFill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RM ADHO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M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RM ADHO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71"/>
    <col customWidth="1" min="2" max="2" width="22.71"/>
    <col customWidth="1" min="3" max="3" width="17.43"/>
    <col customWidth="1" min="4" max="4" width="21.71"/>
    <col customWidth="1" min="5" max="5" width="14.43"/>
    <col customWidth="1" min="6" max="6" width="77.86"/>
    <col customWidth="1" min="7" max="7" width="48.0"/>
    <col customWidth="1" min="8" max="8" width="43.14"/>
    <col customWidth="1" min="9" max="9" width="17.86"/>
    <col customWidth="1" min="10" max="11" width="27.29"/>
    <col customWidth="1" min="12" max="13" width="19.14"/>
    <col customWidth="1" min="14" max="14" width="32.0"/>
    <col customWidth="1" min="15" max="15" width="68.43"/>
    <col customWidth="1" min="16" max="16" width="8.71"/>
    <col customWidth="1" min="17" max="17" width="15.0"/>
    <col customWidth="1" min="18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/>
      <c r="M1" s="1" t="s">
        <v>11</v>
      </c>
      <c r="N1" s="1" t="s">
        <v>12</v>
      </c>
      <c r="O1" s="1" t="s">
        <v>13</v>
      </c>
      <c r="P1" s="5"/>
      <c r="Q1" s="5"/>
      <c r="R1" s="5"/>
      <c r="S1" s="5"/>
      <c r="T1" s="5"/>
      <c r="U1" s="5"/>
      <c r="V1" s="5"/>
    </row>
    <row r="2">
      <c r="A2" s="6" t="s">
        <v>14</v>
      </c>
      <c r="B2" s="7" t="s">
        <v>15</v>
      </c>
      <c r="C2" s="7" t="s">
        <v>16</v>
      </c>
      <c r="D2" s="7" t="s">
        <v>16</v>
      </c>
      <c r="E2" s="8" t="s">
        <v>17</v>
      </c>
      <c r="F2" s="7" t="s">
        <v>16</v>
      </c>
      <c r="G2" s="7" t="s">
        <v>18</v>
      </c>
      <c r="H2" s="9" t="s">
        <v>19</v>
      </c>
      <c r="I2" s="9" t="s">
        <v>22</v>
      </c>
      <c r="J2" s="10">
        <v>300.0</v>
      </c>
      <c r="K2" s="10">
        <f>J2/2</f>
        <v>150</v>
      </c>
      <c r="L2" s="16" t="s">
        <v>32</v>
      </c>
      <c r="M2" s="6" t="s">
        <v>34</v>
      </c>
    </row>
    <row r="3" hidden="1">
      <c r="A3" s="6" t="s">
        <v>36</v>
      </c>
      <c r="B3" s="17" t="s">
        <v>38</v>
      </c>
      <c r="C3" s="17" t="s">
        <v>16</v>
      </c>
      <c r="D3" s="17" t="s">
        <v>16</v>
      </c>
      <c r="E3" s="18" t="s">
        <v>41</v>
      </c>
      <c r="F3" s="17" t="s">
        <v>44</v>
      </c>
      <c r="G3" s="17" t="s">
        <v>46</v>
      </c>
      <c r="H3" s="19" t="s">
        <v>19</v>
      </c>
      <c r="I3" s="19" t="s">
        <v>22</v>
      </c>
      <c r="J3" s="20">
        <v>300.0</v>
      </c>
      <c r="K3" s="20"/>
      <c r="L3" s="6"/>
      <c r="M3" s="6" t="s">
        <v>34</v>
      </c>
    </row>
    <row r="4">
      <c r="A4" s="6" t="s">
        <v>48</v>
      </c>
      <c r="B4" s="7" t="s">
        <v>50</v>
      </c>
      <c r="C4" s="7" t="s">
        <v>16</v>
      </c>
      <c r="D4" s="7" t="s">
        <v>16</v>
      </c>
      <c r="E4" s="8" t="s">
        <v>52</v>
      </c>
      <c r="F4" s="7" t="s">
        <v>16</v>
      </c>
      <c r="G4" s="7" t="s">
        <v>54</v>
      </c>
      <c r="H4" s="9" t="s">
        <v>19</v>
      </c>
      <c r="I4" s="9" t="s">
        <v>22</v>
      </c>
      <c r="J4" s="10">
        <v>300.0</v>
      </c>
      <c r="K4" s="10">
        <f t="shared" ref="K4:K5" si="1">J4/2</f>
        <v>150</v>
      </c>
      <c r="L4" s="16" t="s">
        <v>32</v>
      </c>
      <c r="M4" s="6" t="s">
        <v>34</v>
      </c>
    </row>
    <row r="5">
      <c r="A5" s="6" t="s">
        <v>62</v>
      </c>
      <c r="B5" s="17" t="s">
        <v>63</v>
      </c>
      <c r="C5" s="17" t="s">
        <v>16</v>
      </c>
      <c r="D5" s="17" t="s">
        <v>16</v>
      </c>
      <c r="E5" s="18" t="s">
        <v>64</v>
      </c>
      <c r="F5" s="17" t="s">
        <v>16</v>
      </c>
      <c r="G5" s="17" t="s">
        <v>65</v>
      </c>
      <c r="H5" s="19" t="s">
        <v>19</v>
      </c>
      <c r="I5" s="19" t="s">
        <v>22</v>
      </c>
      <c r="J5" s="20">
        <v>600.0</v>
      </c>
      <c r="K5" s="10">
        <f t="shared" si="1"/>
        <v>300</v>
      </c>
      <c r="L5" s="16" t="s">
        <v>32</v>
      </c>
      <c r="M5" s="6" t="s">
        <v>34</v>
      </c>
    </row>
    <row r="6">
      <c r="A6" s="6" t="s">
        <v>69</v>
      </c>
      <c r="B6" s="7" t="s">
        <v>70</v>
      </c>
      <c r="C6" s="7" t="s">
        <v>16</v>
      </c>
      <c r="D6" s="7" t="s">
        <v>16</v>
      </c>
      <c r="E6" s="8" t="s">
        <v>72</v>
      </c>
      <c r="F6" s="7" t="s">
        <v>16</v>
      </c>
      <c r="G6" s="7" t="s">
        <v>74</v>
      </c>
      <c r="H6" s="9" t="s">
        <v>19</v>
      </c>
      <c r="I6" s="9" t="s">
        <v>76</v>
      </c>
      <c r="J6" s="10">
        <v>450.0</v>
      </c>
      <c r="K6" s="10">
        <f>J6</f>
        <v>450</v>
      </c>
      <c r="L6" s="16" t="s">
        <v>32</v>
      </c>
      <c r="M6" s="6" t="s">
        <v>34</v>
      </c>
    </row>
    <row r="7">
      <c r="A7" s="6" t="s">
        <v>82</v>
      </c>
      <c r="B7" s="17" t="s">
        <v>83</v>
      </c>
      <c r="C7" s="17" t="s">
        <v>16</v>
      </c>
      <c r="D7" s="17" t="s">
        <v>16</v>
      </c>
      <c r="E7" s="18" t="s">
        <v>86</v>
      </c>
      <c r="F7" s="17" t="s">
        <v>16</v>
      </c>
      <c r="G7" s="17" t="s">
        <v>88</v>
      </c>
      <c r="H7" s="19" t="s">
        <v>19</v>
      </c>
      <c r="I7" s="19" t="s">
        <v>22</v>
      </c>
      <c r="J7" s="20">
        <v>500.0</v>
      </c>
      <c r="K7" s="10">
        <f>J7/2</f>
        <v>250</v>
      </c>
      <c r="L7" s="16" t="s">
        <v>32</v>
      </c>
      <c r="M7" s="6" t="s">
        <v>34</v>
      </c>
    </row>
    <row r="8">
      <c r="A8" s="6" t="s">
        <v>90</v>
      </c>
      <c r="B8" s="7" t="s">
        <v>91</v>
      </c>
      <c r="C8" s="7" t="s">
        <v>16</v>
      </c>
      <c r="D8" s="7" t="s">
        <v>16</v>
      </c>
      <c r="E8" s="8" t="s">
        <v>92</v>
      </c>
      <c r="F8" s="7" t="s">
        <v>16</v>
      </c>
      <c r="G8" s="7" t="s">
        <v>93</v>
      </c>
      <c r="H8" s="9" t="s">
        <v>19</v>
      </c>
      <c r="I8" s="9" t="s">
        <v>76</v>
      </c>
      <c r="J8" s="10">
        <v>250.0</v>
      </c>
      <c r="K8" s="10">
        <f>J8</f>
        <v>250</v>
      </c>
      <c r="L8" s="16" t="s">
        <v>32</v>
      </c>
      <c r="M8" s="6" t="s">
        <v>34</v>
      </c>
      <c r="O8" s="6" t="s">
        <v>94</v>
      </c>
    </row>
    <row r="9" hidden="1">
      <c r="A9" s="6" t="s">
        <v>95</v>
      </c>
      <c r="B9" s="17" t="s">
        <v>96</v>
      </c>
      <c r="C9" s="17" t="s">
        <v>16</v>
      </c>
      <c r="D9" s="17" t="s">
        <v>16</v>
      </c>
      <c r="E9" s="18" t="s">
        <v>97</v>
      </c>
      <c r="F9" s="17" t="s">
        <v>16</v>
      </c>
      <c r="G9" s="17" t="s">
        <v>98</v>
      </c>
      <c r="H9" s="19" t="s">
        <v>19</v>
      </c>
      <c r="I9" s="19" t="s">
        <v>22</v>
      </c>
      <c r="J9" s="20">
        <v>300.0</v>
      </c>
      <c r="K9" s="20"/>
      <c r="L9" s="6"/>
      <c r="M9" s="6" t="s">
        <v>34</v>
      </c>
    </row>
    <row r="10">
      <c r="A10" s="6" t="s">
        <v>102</v>
      </c>
      <c r="B10" s="7" t="s">
        <v>103</v>
      </c>
      <c r="C10" s="7" t="s">
        <v>16</v>
      </c>
      <c r="D10" s="7" t="s">
        <v>16</v>
      </c>
      <c r="E10" s="8" t="s">
        <v>105</v>
      </c>
      <c r="F10" s="7" t="s">
        <v>16</v>
      </c>
      <c r="G10" s="7" t="s">
        <v>107</v>
      </c>
      <c r="H10" s="9" t="s">
        <v>19</v>
      </c>
      <c r="I10" s="9" t="s">
        <v>22</v>
      </c>
      <c r="J10" s="10">
        <v>1500.0</v>
      </c>
      <c r="K10" s="10">
        <f t="shared" ref="K10:K12" si="2">J10/2</f>
        <v>750</v>
      </c>
      <c r="L10" s="16" t="s">
        <v>32</v>
      </c>
      <c r="M10" s="6" t="s">
        <v>34</v>
      </c>
    </row>
    <row r="11">
      <c r="A11" s="6" t="s">
        <v>109</v>
      </c>
      <c r="B11" s="17" t="s">
        <v>110</v>
      </c>
      <c r="C11" s="17" t="s">
        <v>16</v>
      </c>
      <c r="D11" s="17" t="s">
        <v>16</v>
      </c>
      <c r="E11" s="18" t="s">
        <v>112</v>
      </c>
      <c r="F11" s="17" t="s">
        <v>16</v>
      </c>
      <c r="G11" s="17" t="s">
        <v>113</v>
      </c>
      <c r="H11" s="19" t="s">
        <v>19</v>
      </c>
      <c r="I11" s="19" t="s">
        <v>22</v>
      </c>
      <c r="J11" s="20">
        <v>400.0</v>
      </c>
      <c r="K11" s="10">
        <f t="shared" si="2"/>
        <v>200</v>
      </c>
      <c r="L11" s="16" t="s">
        <v>32</v>
      </c>
      <c r="M11" s="6" t="s">
        <v>34</v>
      </c>
    </row>
    <row r="12">
      <c r="A12" s="6" t="s">
        <v>114</v>
      </c>
      <c r="B12" s="7" t="s">
        <v>115</v>
      </c>
      <c r="C12" s="7" t="s">
        <v>16</v>
      </c>
      <c r="D12" s="7" t="s">
        <v>16</v>
      </c>
      <c r="E12" s="8" t="s">
        <v>116</v>
      </c>
      <c r="F12" s="7" t="s">
        <v>117</v>
      </c>
      <c r="G12" s="35" t="s">
        <v>118</v>
      </c>
      <c r="H12" s="9" t="s">
        <v>19</v>
      </c>
      <c r="I12" s="9" t="s">
        <v>22</v>
      </c>
      <c r="J12" s="36">
        <v>990.32</v>
      </c>
      <c r="K12" s="10">
        <f t="shared" si="2"/>
        <v>495.16</v>
      </c>
      <c r="L12" s="16" t="s">
        <v>32</v>
      </c>
      <c r="M12" s="6" t="s">
        <v>34</v>
      </c>
    </row>
    <row r="13">
      <c r="A13" s="6" t="s">
        <v>119</v>
      </c>
      <c r="B13" s="17" t="s">
        <v>120</v>
      </c>
      <c r="C13" s="17" t="s">
        <v>16</v>
      </c>
      <c r="D13" s="17" t="s">
        <v>16</v>
      </c>
      <c r="E13" s="18" t="s">
        <v>121</v>
      </c>
      <c r="F13" s="17" t="s">
        <v>122</v>
      </c>
      <c r="G13" s="17" t="s">
        <v>123</v>
      </c>
      <c r="H13" s="19" t="s">
        <v>19</v>
      </c>
      <c r="I13" s="19" t="s">
        <v>30</v>
      </c>
      <c r="J13" s="20">
        <v>842.0</v>
      </c>
      <c r="K13" s="20">
        <f t="shared" ref="K13:K18" si="3">J13/4</f>
        <v>210.5</v>
      </c>
      <c r="L13" s="16" t="s">
        <v>32</v>
      </c>
      <c r="M13" s="6" t="s">
        <v>34</v>
      </c>
    </row>
    <row r="14">
      <c r="A14" s="6" t="s">
        <v>124</v>
      </c>
      <c r="B14" s="7" t="s">
        <v>125</v>
      </c>
      <c r="C14" s="7" t="s">
        <v>16</v>
      </c>
      <c r="D14" s="7" t="s">
        <v>16</v>
      </c>
      <c r="E14" s="8" t="s">
        <v>126</v>
      </c>
      <c r="F14" s="7" t="s">
        <v>127</v>
      </c>
      <c r="G14" s="7" t="s">
        <v>128</v>
      </c>
      <c r="H14" s="9" t="s">
        <v>19</v>
      </c>
      <c r="I14" s="9" t="s">
        <v>30</v>
      </c>
      <c r="J14" s="10">
        <v>730.8</v>
      </c>
      <c r="K14" s="20">
        <f t="shared" si="3"/>
        <v>182.7</v>
      </c>
      <c r="L14" s="16" t="s">
        <v>32</v>
      </c>
      <c r="M14" s="6" t="s">
        <v>34</v>
      </c>
    </row>
    <row r="15">
      <c r="A15" s="6" t="s">
        <v>129</v>
      </c>
      <c r="B15" s="17" t="s">
        <v>130</v>
      </c>
      <c r="C15" s="17" t="s">
        <v>16</v>
      </c>
      <c r="D15" s="17" t="s">
        <v>16</v>
      </c>
      <c r="E15" s="18" t="s">
        <v>131</v>
      </c>
      <c r="F15" s="17" t="s">
        <v>132</v>
      </c>
      <c r="G15" s="17" t="s">
        <v>133</v>
      </c>
      <c r="H15" s="19" t="s">
        <v>19</v>
      </c>
      <c r="I15" s="19" t="s">
        <v>30</v>
      </c>
      <c r="J15" s="20">
        <v>668.85</v>
      </c>
      <c r="K15" s="20">
        <f t="shared" si="3"/>
        <v>167.2125</v>
      </c>
      <c r="L15" s="16" t="s">
        <v>32</v>
      </c>
      <c r="M15" s="6" t="s">
        <v>34</v>
      </c>
      <c r="O15" s="6" t="s">
        <v>134</v>
      </c>
    </row>
    <row r="16">
      <c r="A16" s="6" t="s">
        <v>135</v>
      </c>
      <c r="B16" s="7" t="s">
        <v>136</v>
      </c>
      <c r="C16" s="7" t="s">
        <v>16</v>
      </c>
      <c r="D16" s="7" t="s">
        <v>16</v>
      </c>
      <c r="E16" s="8" t="s">
        <v>137</v>
      </c>
      <c r="F16" s="7" t="s">
        <v>138</v>
      </c>
      <c r="G16" s="7" t="s">
        <v>139</v>
      </c>
      <c r="H16" s="9" t="s">
        <v>19</v>
      </c>
      <c r="I16" s="9" t="s">
        <v>30</v>
      </c>
      <c r="J16" s="10">
        <v>648.9</v>
      </c>
      <c r="K16" s="20">
        <f t="shared" si="3"/>
        <v>162.225</v>
      </c>
      <c r="L16" s="16" t="s">
        <v>32</v>
      </c>
      <c r="M16" s="6" t="s">
        <v>34</v>
      </c>
    </row>
    <row r="17">
      <c r="A17" s="6" t="s">
        <v>140</v>
      </c>
      <c r="B17" s="17" t="s">
        <v>141</v>
      </c>
      <c r="C17" s="17" t="s">
        <v>16</v>
      </c>
      <c r="D17" s="17" t="s">
        <v>16</v>
      </c>
      <c r="E17" s="18" t="s">
        <v>142</v>
      </c>
      <c r="F17" s="17" t="s">
        <v>143</v>
      </c>
      <c r="G17" s="17" t="s">
        <v>144</v>
      </c>
      <c r="H17" s="19" t="s">
        <v>19</v>
      </c>
      <c r="I17" s="19" t="s">
        <v>30</v>
      </c>
      <c r="J17" s="20">
        <v>506.7</v>
      </c>
      <c r="K17" s="20">
        <f t="shared" si="3"/>
        <v>126.675</v>
      </c>
      <c r="L17" s="16" t="s">
        <v>32</v>
      </c>
      <c r="M17" s="6" t="s">
        <v>34</v>
      </c>
    </row>
    <row r="18" ht="15.75" customHeight="1">
      <c r="A18" s="6" t="s">
        <v>145</v>
      </c>
      <c r="B18" s="7" t="s">
        <v>146</v>
      </c>
      <c r="C18" s="7" t="s">
        <v>16</v>
      </c>
      <c r="D18" s="7" t="s">
        <v>16</v>
      </c>
      <c r="E18" s="8" t="s">
        <v>147</v>
      </c>
      <c r="F18" s="7" t="s">
        <v>148</v>
      </c>
      <c r="G18" s="7" t="s">
        <v>149</v>
      </c>
      <c r="H18" s="9" t="s">
        <v>19</v>
      </c>
      <c r="I18" s="9" t="s">
        <v>30</v>
      </c>
      <c r="J18" s="10">
        <v>997.5</v>
      </c>
      <c r="K18" s="20">
        <f t="shared" si="3"/>
        <v>249.375</v>
      </c>
      <c r="L18" s="16" t="s">
        <v>32</v>
      </c>
      <c r="M18" s="6" t="s">
        <v>34</v>
      </c>
    </row>
    <row r="19" ht="15.75" customHeight="1">
      <c r="A19" s="6" t="s">
        <v>150</v>
      </c>
      <c r="B19" s="17" t="s">
        <v>151</v>
      </c>
      <c r="C19" s="17" t="s">
        <v>16</v>
      </c>
      <c r="D19" s="17" t="s">
        <v>16</v>
      </c>
      <c r="E19" s="18" t="s">
        <v>152</v>
      </c>
      <c r="F19" s="17" t="s">
        <v>153</v>
      </c>
      <c r="G19" s="17" t="s">
        <v>154</v>
      </c>
      <c r="H19" s="19" t="s">
        <v>19</v>
      </c>
      <c r="I19" s="19" t="s">
        <v>22</v>
      </c>
      <c r="J19" s="20">
        <v>843.15</v>
      </c>
      <c r="K19" s="10">
        <f t="shared" ref="K19:K20" si="4">J19/2</f>
        <v>421.575</v>
      </c>
      <c r="L19" s="16" t="s">
        <v>32</v>
      </c>
      <c r="M19" s="6" t="s">
        <v>34</v>
      </c>
    </row>
    <row r="20" ht="15.75" customHeight="1">
      <c r="A20" s="6" t="s">
        <v>155</v>
      </c>
      <c r="B20" s="7" t="s">
        <v>156</v>
      </c>
      <c r="C20" s="7" t="s">
        <v>16</v>
      </c>
      <c r="D20" s="7" t="s">
        <v>16</v>
      </c>
      <c r="E20" s="8" t="s">
        <v>157</v>
      </c>
      <c r="F20" s="7" t="s">
        <v>158</v>
      </c>
      <c r="G20" s="7" t="s">
        <v>159</v>
      </c>
      <c r="H20" s="9" t="s">
        <v>19</v>
      </c>
      <c r="I20" s="9" t="s">
        <v>22</v>
      </c>
      <c r="J20" s="10">
        <v>650.0</v>
      </c>
      <c r="K20" s="10">
        <f t="shared" si="4"/>
        <v>325</v>
      </c>
      <c r="L20" s="16" t="s">
        <v>32</v>
      </c>
      <c r="M20" s="6" t="s">
        <v>34</v>
      </c>
    </row>
    <row r="21" ht="15.75" customHeight="1">
      <c r="A21" s="6" t="s">
        <v>160</v>
      </c>
      <c r="B21" s="17" t="s">
        <v>161</v>
      </c>
      <c r="C21" s="17" t="s">
        <v>16</v>
      </c>
      <c r="D21" s="17" t="s">
        <v>16</v>
      </c>
      <c r="E21" s="18" t="s">
        <v>162</v>
      </c>
      <c r="F21" s="17" t="s">
        <v>163</v>
      </c>
      <c r="G21" s="17" t="s">
        <v>164</v>
      </c>
      <c r="H21" s="19" t="s">
        <v>19</v>
      </c>
      <c r="I21" s="19" t="s">
        <v>30</v>
      </c>
      <c r="J21" s="20">
        <v>609.0</v>
      </c>
      <c r="K21" s="20">
        <f t="shared" ref="K21:K22" si="5">J21/4</f>
        <v>152.25</v>
      </c>
      <c r="L21" s="16" t="s">
        <v>32</v>
      </c>
      <c r="M21" s="6" t="s">
        <v>34</v>
      </c>
    </row>
    <row r="22" ht="16.5" customHeight="1">
      <c r="A22" s="6" t="s">
        <v>165</v>
      </c>
      <c r="B22" s="7" t="s">
        <v>166</v>
      </c>
      <c r="C22" s="7" t="s">
        <v>16</v>
      </c>
      <c r="D22" s="7" t="s">
        <v>16</v>
      </c>
      <c r="E22" s="8" t="s">
        <v>167</v>
      </c>
      <c r="F22" s="7" t="s">
        <v>168</v>
      </c>
      <c r="G22" s="7" t="s">
        <v>169</v>
      </c>
      <c r="H22" s="19" t="s">
        <v>19</v>
      </c>
      <c r="I22" s="9" t="s">
        <v>30</v>
      </c>
      <c r="J22" s="10">
        <v>843.15</v>
      </c>
      <c r="K22" s="20">
        <f t="shared" si="5"/>
        <v>210.7875</v>
      </c>
      <c r="L22" s="16" t="s">
        <v>32</v>
      </c>
      <c r="M22" s="6" t="s">
        <v>34</v>
      </c>
    </row>
    <row r="23" ht="15.75" customHeight="1">
      <c r="A23" s="6" t="s">
        <v>170</v>
      </c>
      <c r="B23" s="17" t="s">
        <v>171</v>
      </c>
      <c r="C23" s="17" t="s">
        <v>16</v>
      </c>
      <c r="D23" s="17" t="s">
        <v>16</v>
      </c>
      <c r="E23" s="18" t="s">
        <v>172</v>
      </c>
      <c r="F23" s="17" t="s">
        <v>173</v>
      </c>
      <c r="G23" s="17" t="s">
        <v>174</v>
      </c>
      <c r="H23" s="19" t="s">
        <v>45</v>
      </c>
      <c r="I23" s="19" t="s">
        <v>22</v>
      </c>
      <c r="J23" s="20">
        <v>1348.2</v>
      </c>
      <c r="K23" s="10">
        <f>J23/2</f>
        <v>674.1</v>
      </c>
      <c r="L23" s="16" t="s">
        <v>32</v>
      </c>
      <c r="M23" s="6" t="s">
        <v>34</v>
      </c>
    </row>
    <row r="24" ht="15.75" customHeight="1">
      <c r="A24" s="6" t="s">
        <v>25</v>
      </c>
      <c r="B24" s="7" t="s">
        <v>26</v>
      </c>
      <c r="C24" s="7" t="s">
        <v>16</v>
      </c>
      <c r="D24" s="7" t="s">
        <v>16</v>
      </c>
      <c r="E24" s="8" t="s">
        <v>27</v>
      </c>
      <c r="F24" s="7" t="s">
        <v>28</v>
      </c>
      <c r="G24" s="7" t="s">
        <v>29</v>
      </c>
      <c r="H24" s="9" t="s">
        <v>19</v>
      </c>
      <c r="I24" s="9" t="s">
        <v>30</v>
      </c>
      <c r="J24" s="10">
        <v>1200.15</v>
      </c>
      <c r="K24" s="20">
        <f t="shared" ref="K24:K27" si="6">J24/4</f>
        <v>300.0375</v>
      </c>
      <c r="L24" s="16" t="s">
        <v>32</v>
      </c>
      <c r="M24" s="6" t="s">
        <v>34</v>
      </c>
    </row>
    <row r="25" ht="15.75" customHeight="1">
      <c r="A25" s="6" t="s">
        <v>175</v>
      </c>
      <c r="B25" s="17" t="s">
        <v>176</v>
      </c>
      <c r="C25" s="17" t="s">
        <v>16</v>
      </c>
      <c r="D25" s="17" t="s">
        <v>16</v>
      </c>
      <c r="E25" s="18"/>
      <c r="F25" s="17" t="s">
        <v>177</v>
      </c>
      <c r="G25" s="17" t="s">
        <v>178</v>
      </c>
      <c r="H25" s="19" t="s">
        <v>19</v>
      </c>
      <c r="I25" s="19" t="s">
        <v>30</v>
      </c>
      <c r="J25" s="20">
        <v>535.5</v>
      </c>
      <c r="K25" s="20">
        <f t="shared" si="6"/>
        <v>133.875</v>
      </c>
      <c r="L25" s="16" t="s">
        <v>32</v>
      </c>
      <c r="M25" s="6" t="s">
        <v>34</v>
      </c>
    </row>
    <row r="26" ht="15.75" customHeight="1">
      <c r="A26" s="6" t="s">
        <v>179</v>
      </c>
      <c r="B26" s="7" t="s">
        <v>180</v>
      </c>
      <c r="C26" s="7" t="s">
        <v>16</v>
      </c>
      <c r="D26" s="7" t="s">
        <v>16</v>
      </c>
      <c r="E26" s="8" t="s">
        <v>181</v>
      </c>
      <c r="F26" s="7" t="s">
        <v>182</v>
      </c>
      <c r="G26" s="7" t="s">
        <v>183</v>
      </c>
      <c r="H26" s="9" t="s">
        <v>19</v>
      </c>
      <c r="I26" s="9" t="s">
        <v>30</v>
      </c>
      <c r="J26" s="10">
        <v>304.5</v>
      </c>
      <c r="K26" s="20">
        <f t="shared" si="6"/>
        <v>76.125</v>
      </c>
      <c r="L26" s="16" t="s">
        <v>32</v>
      </c>
      <c r="M26" s="6" t="s">
        <v>34</v>
      </c>
      <c r="O26" s="6" t="s">
        <v>184</v>
      </c>
    </row>
    <row r="27" ht="15.75" customHeight="1">
      <c r="A27" s="6" t="s">
        <v>185</v>
      </c>
      <c r="B27" s="17" t="s">
        <v>186</v>
      </c>
      <c r="C27" s="17" t="s">
        <v>16</v>
      </c>
      <c r="D27" s="17" t="s">
        <v>16</v>
      </c>
      <c r="E27" s="18" t="s">
        <v>187</v>
      </c>
      <c r="F27" s="17" t="s">
        <v>188</v>
      </c>
      <c r="G27" s="17" t="s">
        <v>189</v>
      </c>
      <c r="H27" s="19" t="s">
        <v>19</v>
      </c>
      <c r="I27" s="19" t="s">
        <v>30</v>
      </c>
      <c r="J27" s="20">
        <v>602.7</v>
      </c>
      <c r="K27" s="20">
        <f t="shared" si="6"/>
        <v>150.675</v>
      </c>
      <c r="L27" s="16" t="s">
        <v>32</v>
      </c>
      <c r="M27" s="6" t="s">
        <v>34</v>
      </c>
    </row>
    <row r="28" ht="15.75" customHeight="1">
      <c r="A28" s="6" t="s">
        <v>190</v>
      </c>
      <c r="B28" s="7" t="s">
        <v>191</v>
      </c>
      <c r="C28" s="7" t="s">
        <v>16</v>
      </c>
      <c r="D28" s="7" t="s">
        <v>16</v>
      </c>
      <c r="E28" s="8" t="s">
        <v>192</v>
      </c>
      <c r="F28" s="7" t="s">
        <v>193</v>
      </c>
      <c r="G28" s="7" t="s">
        <v>194</v>
      </c>
      <c r="H28" s="9" t="s">
        <v>19</v>
      </c>
      <c r="I28" s="9" t="s">
        <v>76</v>
      </c>
      <c r="J28" s="10">
        <v>425.0</v>
      </c>
      <c r="K28" s="10">
        <f>J28</f>
        <v>425</v>
      </c>
      <c r="L28" s="16" t="s">
        <v>32</v>
      </c>
      <c r="M28" s="6" t="s">
        <v>34</v>
      </c>
      <c r="O28" s="6" t="s">
        <v>94</v>
      </c>
    </row>
    <row r="29" ht="15.75" customHeight="1">
      <c r="A29" s="6" t="s">
        <v>195</v>
      </c>
      <c r="B29" s="17" t="s">
        <v>196</v>
      </c>
      <c r="C29" s="17" t="s">
        <v>16</v>
      </c>
      <c r="D29" s="17" t="s">
        <v>16</v>
      </c>
      <c r="E29" s="18" t="s">
        <v>197</v>
      </c>
      <c r="F29" s="17" t="s">
        <v>198</v>
      </c>
      <c r="G29" s="17" t="s">
        <v>199</v>
      </c>
      <c r="H29" s="19" t="s">
        <v>19</v>
      </c>
      <c r="I29" s="19" t="s">
        <v>30</v>
      </c>
      <c r="J29" s="20">
        <v>850.0</v>
      </c>
      <c r="K29" s="20">
        <f>J29/4</f>
        <v>212.5</v>
      </c>
      <c r="L29" s="16" t="s">
        <v>32</v>
      </c>
      <c r="M29" s="6" t="s">
        <v>34</v>
      </c>
    </row>
    <row r="30" ht="15.75" customHeight="1">
      <c r="A30" s="6" t="s">
        <v>200</v>
      </c>
      <c r="B30" s="7" t="s">
        <v>201</v>
      </c>
      <c r="C30" s="7" t="s">
        <v>16</v>
      </c>
      <c r="D30" s="7" t="s">
        <v>16</v>
      </c>
      <c r="E30" s="8" t="s">
        <v>202</v>
      </c>
      <c r="F30" s="7" t="s">
        <v>203</v>
      </c>
      <c r="G30" s="7" t="s">
        <v>204</v>
      </c>
      <c r="H30" s="9" t="s">
        <v>19</v>
      </c>
      <c r="I30" s="9" t="s">
        <v>22</v>
      </c>
      <c r="J30" s="10">
        <v>900.5</v>
      </c>
      <c r="K30" s="10">
        <f>J30/2</f>
        <v>450.25</v>
      </c>
      <c r="L30" s="16" t="s">
        <v>32</v>
      </c>
      <c r="M30" s="6" t="s">
        <v>34</v>
      </c>
    </row>
    <row r="31" ht="15.75" customHeight="1">
      <c r="A31" s="6" t="s">
        <v>205</v>
      </c>
      <c r="B31" s="17" t="s">
        <v>206</v>
      </c>
      <c r="C31" s="17" t="s">
        <v>16</v>
      </c>
      <c r="D31" s="17" t="s">
        <v>16</v>
      </c>
      <c r="E31" s="18" t="s">
        <v>207</v>
      </c>
      <c r="F31" s="17" t="s">
        <v>208</v>
      </c>
      <c r="G31" s="17" t="s">
        <v>209</v>
      </c>
      <c r="H31" s="19" t="s">
        <v>19</v>
      </c>
      <c r="I31" s="19" t="s">
        <v>30</v>
      </c>
      <c r="J31" s="20">
        <v>1142.3</v>
      </c>
      <c r="K31" s="20">
        <f t="shared" ref="K31:K37" si="7">J31/4</f>
        <v>285.575</v>
      </c>
      <c r="L31" s="16" t="s">
        <v>32</v>
      </c>
      <c r="M31" s="6" t="s">
        <v>34</v>
      </c>
    </row>
    <row r="32" ht="15.75" customHeight="1">
      <c r="A32" s="6" t="s">
        <v>210</v>
      </c>
      <c r="B32" s="7" t="s">
        <v>211</v>
      </c>
      <c r="C32" s="7" t="s">
        <v>16</v>
      </c>
      <c r="D32" s="7" t="s">
        <v>16</v>
      </c>
      <c r="E32" s="8" t="s">
        <v>212</v>
      </c>
      <c r="F32" s="7" t="s">
        <v>213</v>
      </c>
      <c r="G32" s="7" t="s">
        <v>214</v>
      </c>
      <c r="H32" s="9" t="s">
        <v>45</v>
      </c>
      <c r="I32" s="9" t="s">
        <v>30</v>
      </c>
      <c r="J32" s="10">
        <v>1857.25</v>
      </c>
      <c r="K32" s="20">
        <f t="shared" si="7"/>
        <v>464.3125</v>
      </c>
      <c r="L32" s="16" t="s">
        <v>32</v>
      </c>
      <c r="M32" s="6" t="s">
        <v>34</v>
      </c>
    </row>
    <row r="33" ht="15.75" customHeight="1">
      <c r="A33" s="6" t="s">
        <v>215</v>
      </c>
      <c r="B33" s="17" t="s">
        <v>216</v>
      </c>
      <c r="C33" s="17" t="s">
        <v>217</v>
      </c>
      <c r="D33" s="17" t="s">
        <v>218</v>
      </c>
      <c r="E33" s="18" t="s">
        <v>219</v>
      </c>
      <c r="F33" s="17" t="s">
        <v>220</v>
      </c>
      <c r="G33" s="17" t="s">
        <v>221</v>
      </c>
      <c r="H33" s="19" t="s">
        <v>222</v>
      </c>
      <c r="I33" s="19" t="s">
        <v>30</v>
      </c>
      <c r="J33" s="20">
        <v>1292.03</v>
      </c>
      <c r="K33" s="20">
        <f t="shared" si="7"/>
        <v>323.0075</v>
      </c>
      <c r="L33" s="16" t="s">
        <v>32</v>
      </c>
      <c r="M33" s="6" t="s">
        <v>34</v>
      </c>
    </row>
    <row r="34" ht="15.75" customHeight="1">
      <c r="A34" s="6" t="s">
        <v>37</v>
      </c>
      <c r="B34" s="7" t="s">
        <v>39</v>
      </c>
      <c r="C34" s="7" t="s">
        <v>16</v>
      </c>
      <c r="D34" s="7" t="s">
        <v>16</v>
      </c>
      <c r="E34" s="8" t="s">
        <v>40</v>
      </c>
      <c r="F34" s="7" t="s">
        <v>42</v>
      </c>
      <c r="G34" s="7" t="s">
        <v>43</v>
      </c>
      <c r="H34" s="9" t="s">
        <v>45</v>
      </c>
      <c r="I34" s="9" t="s">
        <v>30</v>
      </c>
      <c r="J34" s="10">
        <v>782.46</v>
      </c>
      <c r="K34" s="20">
        <f t="shared" si="7"/>
        <v>195.615</v>
      </c>
      <c r="L34" s="16" t="s">
        <v>32</v>
      </c>
      <c r="M34" s="6" t="s">
        <v>34</v>
      </c>
    </row>
    <row r="35" ht="15.75" customHeight="1">
      <c r="A35" s="6" t="s">
        <v>223</v>
      </c>
      <c r="B35" s="17" t="s">
        <v>224</v>
      </c>
      <c r="C35" s="17" t="s">
        <v>224</v>
      </c>
      <c r="D35" s="17" t="s">
        <v>16</v>
      </c>
      <c r="E35" s="18"/>
      <c r="F35" s="17" t="s">
        <v>225</v>
      </c>
      <c r="G35" s="17" t="s">
        <v>226</v>
      </c>
      <c r="H35" s="19" t="s">
        <v>19</v>
      </c>
      <c r="I35" s="19" t="s">
        <v>30</v>
      </c>
      <c r="J35" s="37">
        <v>840.25</v>
      </c>
      <c r="K35" s="20">
        <f t="shared" si="7"/>
        <v>210.0625</v>
      </c>
      <c r="L35" s="16" t="s">
        <v>32</v>
      </c>
      <c r="M35" s="6" t="s">
        <v>34</v>
      </c>
    </row>
    <row r="36" ht="15.75" customHeight="1">
      <c r="A36" s="6" t="s">
        <v>49</v>
      </c>
      <c r="B36" s="7" t="s">
        <v>51</v>
      </c>
      <c r="C36" s="7" t="s">
        <v>16</v>
      </c>
      <c r="D36" s="7" t="s">
        <v>16</v>
      </c>
      <c r="E36" s="8" t="s">
        <v>53</v>
      </c>
      <c r="F36" s="7" t="s">
        <v>55</v>
      </c>
      <c r="G36" s="7" t="s">
        <v>56</v>
      </c>
      <c r="H36" s="9" t="s">
        <v>19</v>
      </c>
      <c r="I36" s="9" t="s">
        <v>30</v>
      </c>
      <c r="J36" s="10">
        <v>1449.0</v>
      </c>
      <c r="K36" s="20">
        <f t="shared" si="7"/>
        <v>362.25</v>
      </c>
      <c r="L36" s="16" t="s">
        <v>32</v>
      </c>
      <c r="M36" s="6" t="s">
        <v>34</v>
      </c>
      <c r="O36" s="6" t="s">
        <v>227</v>
      </c>
    </row>
    <row r="37" ht="15.75" customHeight="1">
      <c r="A37" s="6" t="s">
        <v>228</v>
      </c>
      <c r="B37" s="17" t="s">
        <v>229</v>
      </c>
      <c r="C37" s="17" t="s">
        <v>230</v>
      </c>
      <c r="D37" s="17" t="s">
        <v>231</v>
      </c>
      <c r="E37" s="18" t="s">
        <v>232</v>
      </c>
      <c r="F37" s="17" t="s">
        <v>233</v>
      </c>
      <c r="G37" s="17" t="s">
        <v>234</v>
      </c>
      <c r="H37" s="19" t="s">
        <v>19</v>
      </c>
      <c r="I37" s="19" t="s">
        <v>30</v>
      </c>
      <c r="J37" s="20">
        <v>3658.34</v>
      </c>
      <c r="K37" s="20">
        <f t="shared" si="7"/>
        <v>914.585</v>
      </c>
      <c r="L37" s="16" t="s">
        <v>32</v>
      </c>
      <c r="M37" s="6" t="s">
        <v>34</v>
      </c>
    </row>
    <row r="38" ht="15.75" customHeight="1">
      <c r="A38" s="6" t="s">
        <v>235</v>
      </c>
      <c r="B38" s="7" t="s">
        <v>236</v>
      </c>
      <c r="C38" s="7" t="s">
        <v>237</v>
      </c>
      <c r="D38" s="7" t="s">
        <v>16</v>
      </c>
      <c r="E38" s="8"/>
      <c r="F38" s="7" t="s">
        <v>238</v>
      </c>
      <c r="G38" s="7" t="s">
        <v>239</v>
      </c>
      <c r="H38" s="9" t="s">
        <v>19</v>
      </c>
      <c r="I38" s="9" t="s">
        <v>22</v>
      </c>
      <c r="J38" s="10">
        <v>1260.63</v>
      </c>
      <c r="K38" s="10">
        <f t="shared" ref="K38:K39" si="8">J38/2</f>
        <v>630.315</v>
      </c>
      <c r="L38" s="16" t="s">
        <v>32</v>
      </c>
      <c r="M38" s="6" t="s">
        <v>34</v>
      </c>
    </row>
    <row r="39" ht="15.75" customHeight="1">
      <c r="A39" s="6" t="s">
        <v>240</v>
      </c>
      <c r="B39" s="17" t="s">
        <v>241</v>
      </c>
      <c r="C39" s="17" t="s">
        <v>242</v>
      </c>
      <c r="D39" s="17" t="s">
        <v>16</v>
      </c>
      <c r="E39" s="38" t="s">
        <v>243</v>
      </c>
      <c r="F39" s="17" t="s">
        <v>244</v>
      </c>
      <c r="G39" s="17" t="s">
        <v>245</v>
      </c>
      <c r="H39" s="19" t="s">
        <v>19</v>
      </c>
      <c r="I39" s="19" t="s">
        <v>22</v>
      </c>
      <c r="J39" s="20">
        <v>1954.94</v>
      </c>
      <c r="K39" s="10">
        <f t="shared" si="8"/>
        <v>977.47</v>
      </c>
      <c r="L39" s="16" t="s">
        <v>32</v>
      </c>
      <c r="M39" s="6" t="s">
        <v>34</v>
      </c>
    </row>
    <row r="40" ht="15.75" customHeight="1">
      <c r="A40" s="6" t="s">
        <v>246</v>
      </c>
      <c r="B40" s="7" t="s">
        <v>247</v>
      </c>
      <c r="C40" s="7" t="s">
        <v>16</v>
      </c>
      <c r="D40" s="7" t="s">
        <v>16</v>
      </c>
      <c r="E40" s="38" t="s">
        <v>248</v>
      </c>
      <c r="F40" s="39" t="s">
        <v>249</v>
      </c>
      <c r="G40" s="7" t="s">
        <v>250</v>
      </c>
      <c r="H40" s="9" t="s">
        <v>19</v>
      </c>
      <c r="I40" s="9" t="s">
        <v>30</v>
      </c>
      <c r="J40" s="10">
        <v>616.05</v>
      </c>
      <c r="K40" s="20">
        <f>J40/4</f>
        <v>154.0125</v>
      </c>
      <c r="L40" s="16" t="s">
        <v>32</v>
      </c>
      <c r="M40" s="6" t="s">
        <v>34</v>
      </c>
    </row>
    <row r="41" ht="15.75" customHeight="1">
      <c r="A41" s="6" t="s">
        <v>251</v>
      </c>
      <c r="B41" s="17" t="s">
        <v>252</v>
      </c>
      <c r="C41" s="17" t="s">
        <v>16</v>
      </c>
      <c r="D41" s="17" t="s">
        <v>16</v>
      </c>
      <c r="E41" s="18" t="s">
        <v>253</v>
      </c>
      <c r="F41" s="17" t="s">
        <v>254</v>
      </c>
      <c r="G41" s="17" t="s">
        <v>255</v>
      </c>
      <c r="H41" s="19" t="s">
        <v>19</v>
      </c>
      <c r="I41" s="19" t="s">
        <v>22</v>
      </c>
      <c r="J41" s="20">
        <v>300.0</v>
      </c>
      <c r="K41" s="10">
        <f>J41/2</f>
        <v>150</v>
      </c>
      <c r="L41" s="16" t="s">
        <v>32</v>
      </c>
      <c r="M41" s="6" t="s">
        <v>34</v>
      </c>
      <c r="O41" s="6"/>
    </row>
    <row r="42" ht="15.75" customHeight="1">
      <c r="A42" s="6" t="s">
        <v>256</v>
      </c>
      <c r="B42" s="7" t="s">
        <v>257</v>
      </c>
      <c r="C42" s="7" t="s">
        <v>16</v>
      </c>
      <c r="D42" s="7" t="s">
        <v>16</v>
      </c>
      <c r="E42" s="8" t="s">
        <v>258</v>
      </c>
      <c r="F42" s="7" t="s">
        <v>259</v>
      </c>
      <c r="G42" s="7" t="s">
        <v>260</v>
      </c>
      <c r="H42" s="9" t="s">
        <v>45</v>
      </c>
      <c r="I42" s="9" t="s">
        <v>30</v>
      </c>
      <c r="J42" s="10">
        <v>3231.57</v>
      </c>
      <c r="K42" s="20">
        <f>J42/4</f>
        <v>807.8925</v>
      </c>
      <c r="L42" s="16" t="s">
        <v>32</v>
      </c>
      <c r="M42" s="6" t="s">
        <v>34</v>
      </c>
      <c r="O42" s="6" t="s">
        <v>261</v>
      </c>
    </row>
    <row r="43" ht="15.75" customHeight="1">
      <c r="A43" s="6" t="s">
        <v>262</v>
      </c>
      <c r="B43" s="17" t="s">
        <v>263</v>
      </c>
      <c r="C43" s="17" t="s">
        <v>264</v>
      </c>
      <c r="D43" s="17" t="s">
        <v>16</v>
      </c>
      <c r="E43" s="18" t="s">
        <v>265</v>
      </c>
      <c r="F43" s="17" t="s">
        <v>266</v>
      </c>
      <c r="G43" s="17" t="s">
        <v>263</v>
      </c>
      <c r="H43" s="19" t="s">
        <v>19</v>
      </c>
      <c r="I43" s="19" t="s">
        <v>267</v>
      </c>
      <c r="J43" s="20">
        <v>18390.0</v>
      </c>
      <c r="K43" s="20">
        <f>J43/20</f>
        <v>919.5</v>
      </c>
      <c r="L43" s="16" t="s">
        <v>32</v>
      </c>
      <c r="M43" s="6" t="s">
        <v>34</v>
      </c>
    </row>
    <row r="44" ht="15.75" customHeight="1">
      <c r="A44" s="6" t="s">
        <v>268</v>
      </c>
      <c r="B44" s="7" t="s">
        <v>269</v>
      </c>
      <c r="C44" s="7" t="s">
        <v>270</v>
      </c>
      <c r="D44" s="7" t="s">
        <v>16</v>
      </c>
      <c r="E44" s="8" t="s">
        <v>271</v>
      </c>
      <c r="F44" s="7" t="s">
        <v>272</v>
      </c>
      <c r="G44" s="7" t="s">
        <v>273</v>
      </c>
      <c r="H44" s="9" t="s">
        <v>19</v>
      </c>
      <c r="I44" s="9" t="s">
        <v>30</v>
      </c>
      <c r="J44" s="10">
        <v>9000.0</v>
      </c>
      <c r="K44" s="20">
        <f t="shared" ref="K44:K47" si="9">J44/4</f>
        <v>2250</v>
      </c>
      <c r="L44" s="16" t="s">
        <v>32</v>
      </c>
      <c r="M44" s="6" t="s">
        <v>34</v>
      </c>
    </row>
    <row r="45" ht="15.75" customHeight="1">
      <c r="A45" s="6" t="s">
        <v>268</v>
      </c>
      <c r="B45" s="17" t="s">
        <v>274</v>
      </c>
      <c r="C45" s="17" t="s">
        <v>270</v>
      </c>
      <c r="D45" s="17" t="s">
        <v>16</v>
      </c>
      <c r="E45" s="18" t="s">
        <v>271</v>
      </c>
      <c r="F45" s="17" t="s">
        <v>272</v>
      </c>
      <c r="G45" s="17" t="s">
        <v>275</v>
      </c>
      <c r="H45" s="19" t="s">
        <v>19</v>
      </c>
      <c r="I45" s="19" t="s">
        <v>30</v>
      </c>
      <c r="J45" s="20">
        <v>4000.0</v>
      </c>
      <c r="K45" s="20">
        <f t="shared" si="9"/>
        <v>1000</v>
      </c>
      <c r="L45" s="16" t="s">
        <v>32</v>
      </c>
      <c r="M45" s="6" t="s">
        <v>34</v>
      </c>
    </row>
    <row r="46" ht="15.75" customHeight="1">
      <c r="A46" s="6" t="s">
        <v>268</v>
      </c>
      <c r="B46" s="7" t="s">
        <v>276</v>
      </c>
      <c r="C46" s="7" t="s">
        <v>270</v>
      </c>
      <c r="D46" s="7" t="s">
        <v>16</v>
      </c>
      <c r="E46" s="8" t="s">
        <v>271</v>
      </c>
      <c r="F46" s="7" t="s">
        <v>272</v>
      </c>
      <c r="G46" s="7" t="s">
        <v>277</v>
      </c>
      <c r="H46" s="9" t="s">
        <v>19</v>
      </c>
      <c r="I46" s="9" t="s">
        <v>30</v>
      </c>
      <c r="J46" s="10">
        <v>4000.0</v>
      </c>
      <c r="K46" s="20">
        <f t="shared" si="9"/>
        <v>1000</v>
      </c>
      <c r="L46" s="16" t="s">
        <v>32</v>
      </c>
      <c r="M46" s="6" t="s">
        <v>34</v>
      </c>
    </row>
    <row r="47" ht="15.75" customHeight="1">
      <c r="A47" s="6" t="s">
        <v>268</v>
      </c>
      <c r="B47" s="17" t="s">
        <v>278</v>
      </c>
      <c r="C47" s="17" t="s">
        <v>270</v>
      </c>
      <c r="D47" s="17" t="s">
        <v>16</v>
      </c>
      <c r="E47" s="18" t="s">
        <v>271</v>
      </c>
      <c r="F47" s="17" t="s">
        <v>272</v>
      </c>
      <c r="G47" s="17" t="s">
        <v>277</v>
      </c>
      <c r="H47" s="19" t="s">
        <v>19</v>
      </c>
      <c r="I47" s="19" t="s">
        <v>30</v>
      </c>
      <c r="J47" s="20">
        <v>6000.0</v>
      </c>
      <c r="K47" s="20">
        <f t="shared" si="9"/>
        <v>1500</v>
      </c>
      <c r="L47" s="16" t="s">
        <v>32</v>
      </c>
      <c r="M47" s="6" t="s">
        <v>34</v>
      </c>
    </row>
    <row r="48" ht="15.75" customHeight="1">
      <c r="A48" s="6" t="s">
        <v>279</v>
      </c>
      <c r="B48" s="7" t="s">
        <v>280</v>
      </c>
      <c r="C48" s="7" t="s">
        <v>16</v>
      </c>
      <c r="D48" s="7" t="s">
        <v>16</v>
      </c>
      <c r="E48" s="8" t="s">
        <v>281</v>
      </c>
      <c r="F48" s="7" t="s">
        <v>282</v>
      </c>
      <c r="G48" s="7" t="s">
        <v>283</v>
      </c>
      <c r="H48" s="9" t="s">
        <v>19</v>
      </c>
      <c r="I48" s="9" t="s">
        <v>22</v>
      </c>
      <c r="J48" s="10">
        <v>900.0</v>
      </c>
      <c r="K48" s="10">
        <f t="shared" ref="K48:K50" si="10">J48/2</f>
        <v>450</v>
      </c>
      <c r="L48" s="16" t="s">
        <v>32</v>
      </c>
      <c r="M48" s="6" t="s">
        <v>34</v>
      </c>
    </row>
    <row r="49" ht="15.75" customHeight="1">
      <c r="A49" s="6" t="s">
        <v>284</v>
      </c>
      <c r="B49" s="17" t="s">
        <v>285</v>
      </c>
      <c r="C49" s="17" t="s">
        <v>16</v>
      </c>
      <c r="D49" s="17" t="s">
        <v>16</v>
      </c>
      <c r="E49" s="18" t="s">
        <v>286</v>
      </c>
      <c r="F49" s="17" t="s">
        <v>16</v>
      </c>
      <c r="G49" s="17" t="s">
        <v>287</v>
      </c>
      <c r="H49" s="19" t="s">
        <v>19</v>
      </c>
      <c r="I49" s="19" t="s">
        <v>22</v>
      </c>
      <c r="J49" s="20">
        <v>800.0</v>
      </c>
      <c r="K49" s="10">
        <f t="shared" si="10"/>
        <v>400</v>
      </c>
      <c r="L49" s="16" t="s">
        <v>32</v>
      </c>
      <c r="M49" s="6" t="s">
        <v>34</v>
      </c>
    </row>
    <row r="50" ht="15.75" customHeight="1">
      <c r="A50" s="6" t="s">
        <v>288</v>
      </c>
      <c r="B50" s="7" t="s">
        <v>289</v>
      </c>
      <c r="C50" s="7" t="s">
        <v>16</v>
      </c>
      <c r="D50" s="7" t="s">
        <v>16</v>
      </c>
      <c r="E50" s="8" t="s">
        <v>290</v>
      </c>
      <c r="F50" s="7" t="s">
        <v>16</v>
      </c>
      <c r="G50" s="7" t="s">
        <v>291</v>
      </c>
      <c r="H50" s="9" t="s">
        <v>19</v>
      </c>
      <c r="I50" s="9" t="s">
        <v>22</v>
      </c>
      <c r="J50" s="10">
        <v>800.0</v>
      </c>
      <c r="K50" s="10">
        <f t="shared" si="10"/>
        <v>400</v>
      </c>
      <c r="L50" s="16" t="s">
        <v>32</v>
      </c>
      <c r="M50" s="6" t="s">
        <v>34</v>
      </c>
    </row>
    <row r="51" ht="15.75" customHeight="1">
      <c r="A51" s="6" t="s">
        <v>292</v>
      </c>
      <c r="B51" s="17" t="s">
        <v>293</v>
      </c>
      <c r="C51" s="17" t="s">
        <v>16</v>
      </c>
      <c r="D51" s="17" t="s">
        <v>16</v>
      </c>
      <c r="E51" s="18" t="s">
        <v>294</v>
      </c>
      <c r="F51" s="17" t="s">
        <v>16</v>
      </c>
      <c r="G51" s="17" t="s">
        <v>295</v>
      </c>
      <c r="H51" s="19" t="s">
        <v>19</v>
      </c>
      <c r="I51" s="19" t="s">
        <v>30</v>
      </c>
      <c r="J51" s="20">
        <v>2000.0</v>
      </c>
      <c r="K51" s="20">
        <f>J51/4</f>
        <v>500</v>
      </c>
      <c r="L51" s="16" t="s">
        <v>32</v>
      </c>
      <c r="M51" s="6" t="s">
        <v>34</v>
      </c>
    </row>
    <row r="52" ht="15.75" customHeight="1">
      <c r="A52" s="6" t="s">
        <v>296</v>
      </c>
      <c r="B52" s="7" t="s">
        <v>297</v>
      </c>
      <c r="C52" s="7" t="s">
        <v>16</v>
      </c>
      <c r="D52" s="7" t="s">
        <v>16</v>
      </c>
      <c r="E52" s="8" t="s">
        <v>298</v>
      </c>
      <c r="F52" s="7" t="s">
        <v>299</v>
      </c>
      <c r="G52" s="7" t="s">
        <v>300</v>
      </c>
      <c r="H52" s="9" t="s">
        <v>19</v>
      </c>
      <c r="I52" s="9" t="s">
        <v>22</v>
      </c>
      <c r="J52" s="10">
        <v>1850.0</v>
      </c>
      <c r="K52" s="10">
        <f>J52/2</f>
        <v>925</v>
      </c>
      <c r="L52" s="16" t="s">
        <v>32</v>
      </c>
      <c r="M52" s="6" t="s">
        <v>34</v>
      </c>
    </row>
    <row r="53" ht="15.75" customHeight="1">
      <c r="A53" s="6" t="s">
        <v>57</v>
      </c>
      <c r="B53" s="17" t="s">
        <v>58</v>
      </c>
      <c r="C53" s="17" t="s">
        <v>16</v>
      </c>
      <c r="D53" s="17" t="s">
        <v>16</v>
      </c>
      <c r="E53" s="18" t="s">
        <v>59</v>
      </c>
      <c r="F53" s="17" t="s">
        <v>60</v>
      </c>
      <c r="G53" s="17" t="s">
        <v>61</v>
      </c>
      <c r="H53" s="19" t="s">
        <v>19</v>
      </c>
      <c r="I53" s="19" t="s">
        <v>30</v>
      </c>
      <c r="J53" s="20">
        <v>700.0</v>
      </c>
      <c r="K53" s="20">
        <f t="shared" ref="K53:K54" si="11">J53/4</f>
        <v>175</v>
      </c>
      <c r="L53" s="16" t="s">
        <v>32</v>
      </c>
      <c r="M53" s="6" t="s">
        <v>34</v>
      </c>
    </row>
    <row r="54" ht="15.75" customHeight="1">
      <c r="A54" s="6" t="s">
        <v>301</v>
      </c>
      <c r="B54" s="7" t="s">
        <v>302</v>
      </c>
      <c r="C54" s="7" t="s">
        <v>16</v>
      </c>
      <c r="D54" s="7" t="s">
        <v>16</v>
      </c>
      <c r="E54" s="8" t="s">
        <v>303</v>
      </c>
      <c r="F54" s="7" t="s">
        <v>304</v>
      </c>
      <c r="G54" s="7" t="s">
        <v>305</v>
      </c>
      <c r="H54" s="9" t="s">
        <v>19</v>
      </c>
      <c r="I54" s="9" t="s">
        <v>30</v>
      </c>
      <c r="J54" s="10">
        <v>800.0</v>
      </c>
      <c r="K54" s="20">
        <f t="shared" si="11"/>
        <v>200</v>
      </c>
      <c r="L54" s="16" t="s">
        <v>32</v>
      </c>
      <c r="M54" s="6" t="s">
        <v>34</v>
      </c>
    </row>
    <row r="55" ht="15.75" hidden="1" customHeight="1">
      <c r="A55" s="6" t="s">
        <v>306</v>
      </c>
      <c r="B55" s="17" t="s">
        <v>307</v>
      </c>
      <c r="C55" s="17" t="s">
        <v>16</v>
      </c>
      <c r="D55" s="17" t="s">
        <v>16</v>
      </c>
      <c r="E55" s="18" t="s">
        <v>308</v>
      </c>
      <c r="F55" s="17" t="s">
        <v>16</v>
      </c>
      <c r="G55" s="17" t="s">
        <v>309</v>
      </c>
      <c r="H55" s="19" t="s">
        <v>19</v>
      </c>
      <c r="I55" s="19" t="s">
        <v>30</v>
      </c>
      <c r="J55" s="20">
        <v>400.0</v>
      </c>
      <c r="K55" s="20"/>
      <c r="L55" s="16"/>
      <c r="M55" s="6" t="s">
        <v>34</v>
      </c>
    </row>
    <row r="56" ht="15.75" customHeight="1">
      <c r="A56" s="6" t="s">
        <v>310</v>
      </c>
      <c r="B56" s="7" t="s">
        <v>311</v>
      </c>
      <c r="C56" s="7" t="s">
        <v>16</v>
      </c>
      <c r="D56" s="7" t="s">
        <v>16</v>
      </c>
      <c r="E56" s="8" t="s">
        <v>312</v>
      </c>
      <c r="F56" s="7" t="s">
        <v>16</v>
      </c>
      <c r="G56" s="35" t="s">
        <v>313</v>
      </c>
      <c r="H56" s="9" t="s">
        <v>19</v>
      </c>
      <c r="I56" s="9" t="s">
        <v>30</v>
      </c>
      <c r="J56" s="36">
        <v>3500.0</v>
      </c>
      <c r="K56" s="20">
        <f>J56/4</f>
        <v>875</v>
      </c>
      <c r="L56" s="16" t="s">
        <v>32</v>
      </c>
      <c r="M56" s="6" t="s">
        <v>34</v>
      </c>
    </row>
    <row r="57" ht="15.75" customHeight="1">
      <c r="A57" s="6" t="s">
        <v>314</v>
      </c>
      <c r="B57" s="17" t="s">
        <v>315</v>
      </c>
      <c r="C57" s="17" t="s">
        <v>16</v>
      </c>
      <c r="D57" s="17" t="s">
        <v>16</v>
      </c>
      <c r="E57" s="18" t="s">
        <v>316</v>
      </c>
      <c r="F57" s="17" t="s">
        <v>16</v>
      </c>
      <c r="G57" s="17" t="s">
        <v>317</v>
      </c>
      <c r="H57" s="19" t="s">
        <v>19</v>
      </c>
      <c r="I57" s="19" t="s">
        <v>22</v>
      </c>
      <c r="J57" s="20">
        <v>900.0</v>
      </c>
      <c r="K57" s="10">
        <f>J57/2</f>
        <v>450</v>
      </c>
      <c r="L57" s="16" t="s">
        <v>32</v>
      </c>
      <c r="M57" s="6" t="s">
        <v>34</v>
      </c>
    </row>
    <row r="58" ht="15.75" customHeight="1">
      <c r="A58" s="16" t="s">
        <v>318</v>
      </c>
      <c r="B58" s="40" t="s">
        <v>319</v>
      </c>
      <c r="C58" s="40" t="s">
        <v>16</v>
      </c>
      <c r="D58" s="40" t="s">
        <v>320</v>
      </c>
      <c r="E58" s="41" t="s">
        <v>321</v>
      </c>
      <c r="F58" s="40" t="s">
        <v>322</v>
      </c>
      <c r="G58" s="40" t="s">
        <v>323</v>
      </c>
      <c r="H58" s="19" t="s">
        <v>19</v>
      </c>
      <c r="I58" s="9" t="s">
        <v>30</v>
      </c>
      <c r="J58" s="37">
        <v>6150.0</v>
      </c>
      <c r="K58" s="37">
        <v>512.5</v>
      </c>
      <c r="L58" s="16" t="s">
        <v>32</v>
      </c>
      <c r="M58" s="16" t="s">
        <v>34</v>
      </c>
    </row>
    <row r="59" ht="15.75" customHeight="1">
      <c r="E59" s="33"/>
      <c r="G59" s="6"/>
      <c r="J59" s="34"/>
      <c r="K59" s="34"/>
    </row>
    <row r="60" ht="15.75" customHeight="1">
      <c r="E60" s="33"/>
      <c r="G60" s="6"/>
      <c r="J60" s="34"/>
      <c r="K60" s="34"/>
    </row>
    <row r="61" ht="15.75" customHeight="1">
      <c r="E61" s="33"/>
      <c r="G61" s="6"/>
      <c r="J61" s="34"/>
      <c r="K61" s="34"/>
    </row>
    <row r="62" ht="15.75" customHeight="1">
      <c r="E62" s="33"/>
      <c r="G62" s="6"/>
      <c r="J62" s="34"/>
      <c r="K62" s="34"/>
    </row>
    <row r="63" ht="15.75" customHeight="1">
      <c r="E63" s="33"/>
      <c r="G63" s="6"/>
      <c r="J63" s="34"/>
      <c r="K63" s="34"/>
    </row>
    <row r="64" ht="15.75" customHeight="1">
      <c r="E64" s="33"/>
      <c r="G64" s="6"/>
      <c r="J64" s="34"/>
      <c r="K64" s="34"/>
    </row>
    <row r="65" ht="15.75" customHeight="1">
      <c r="E65" s="33"/>
      <c r="G65" s="6"/>
      <c r="J65" s="34"/>
      <c r="K65" s="34"/>
    </row>
    <row r="66" ht="15.75" customHeight="1">
      <c r="E66" s="33"/>
      <c r="G66" s="6"/>
      <c r="J66" s="34"/>
      <c r="K66" s="34"/>
    </row>
    <row r="67" ht="15.75" customHeight="1">
      <c r="E67" s="33"/>
      <c r="G67" s="6"/>
      <c r="J67" s="34"/>
      <c r="K67" s="34"/>
    </row>
    <row r="68" ht="15.75" customHeight="1">
      <c r="E68" s="33"/>
      <c r="G68" s="6"/>
      <c r="J68" s="34"/>
      <c r="K68" s="34"/>
    </row>
    <row r="69" ht="15.75" customHeight="1">
      <c r="E69" s="33"/>
      <c r="G69" s="6"/>
      <c r="J69" s="34"/>
      <c r="K69" s="34"/>
    </row>
    <row r="70" ht="15.75" customHeight="1">
      <c r="E70" s="33"/>
      <c r="G70" s="6"/>
      <c r="J70" s="34"/>
      <c r="K70" s="34"/>
    </row>
    <row r="71" ht="15.75" customHeight="1">
      <c r="E71" s="33"/>
      <c r="G71" s="6"/>
      <c r="J71" s="34"/>
      <c r="K71" s="34"/>
    </row>
    <row r="72" ht="15.75" customHeight="1">
      <c r="E72" s="33"/>
      <c r="G72" s="6"/>
      <c r="J72" s="34"/>
      <c r="K72" s="34"/>
    </row>
    <row r="73" ht="15.75" customHeight="1">
      <c r="E73" s="33"/>
      <c r="G73" s="6"/>
      <c r="J73" s="34"/>
      <c r="K73" s="34"/>
    </row>
    <row r="74" ht="15.75" customHeight="1">
      <c r="E74" s="33"/>
      <c r="G74" s="6"/>
      <c r="J74" s="34"/>
      <c r="K74" s="34"/>
    </row>
    <row r="75" ht="15.75" customHeight="1">
      <c r="E75" s="33"/>
      <c r="G75" s="6"/>
      <c r="J75" s="34"/>
      <c r="K75" s="34"/>
    </row>
    <row r="76" ht="15.75" customHeight="1">
      <c r="E76" s="33"/>
      <c r="G76" s="6"/>
      <c r="J76" s="34"/>
      <c r="K76" s="34"/>
    </row>
    <row r="77" ht="15.75" customHeight="1">
      <c r="E77" s="33"/>
      <c r="G77" s="6"/>
      <c r="J77" s="34"/>
      <c r="K77" s="34"/>
    </row>
    <row r="78" ht="15.75" customHeight="1">
      <c r="E78" s="33"/>
      <c r="G78" s="6"/>
      <c r="J78" s="34"/>
      <c r="K78" s="34"/>
    </row>
    <row r="79" ht="15.75" customHeight="1">
      <c r="E79" s="33"/>
      <c r="G79" s="6"/>
      <c r="J79" s="34"/>
      <c r="K79" s="34"/>
    </row>
    <row r="80" ht="15.75" customHeight="1">
      <c r="E80" s="33"/>
      <c r="G80" s="6"/>
      <c r="J80" s="34"/>
      <c r="K80" s="34"/>
    </row>
    <row r="81" ht="15.75" customHeight="1">
      <c r="E81" s="33"/>
      <c r="G81" s="6"/>
      <c r="J81" s="34"/>
      <c r="K81" s="34"/>
    </row>
    <row r="82" ht="15.75" customHeight="1">
      <c r="E82" s="33"/>
      <c r="G82" s="6"/>
      <c r="J82" s="34"/>
      <c r="K82" s="34"/>
    </row>
    <row r="83" ht="15.75" customHeight="1">
      <c r="E83" s="33"/>
      <c r="G83" s="6"/>
      <c r="J83" s="34"/>
      <c r="K83" s="34"/>
    </row>
    <row r="84" ht="15.75" customHeight="1">
      <c r="E84" s="33"/>
      <c r="G84" s="6"/>
      <c r="J84" s="34"/>
      <c r="K84" s="34"/>
    </row>
    <row r="85" ht="15.75" customHeight="1">
      <c r="E85" s="33"/>
      <c r="G85" s="6"/>
      <c r="J85" s="34"/>
      <c r="K85" s="34"/>
    </row>
    <row r="86" ht="15.75" customHeight="1">
      <c r="E86" s="33"/>
      <c r="G86" s="6"/>
      <c r="J86" s="34"/>
      <c r="K86" s="34"/>
    </row>
    <row r="87" ht="15.75" customHeight="1">
      <c r="E87" s="33"/>
      <c r="G87" s="6"/>
      <c r="J87" s="34"/>
      <c r="K87" s="34"/>
    </row>
    <row r="88" ht="15.75" customHeight="1">
      <c r="E88" s="33"/>
      <c r="G88" s="6"/>
      <c r="J88" s="34"/>
      <c r="K88" s="34"/>
    </row>
    <row r="89" ht="15.75" customHeight="1">
      <c r="E89" s="33"/>
      <c r="G89" s="6"/>
      <c r="J89" s="34"/>
      <c r="K89" s="34"/>
    </row>
    <row r="90" ht="15.75" customHeight="1">
      <c r="E90" s="33"/>
      <c r="G90" s="6"/>
      <c r="J90" s="34"/>
      <c r="K90" s="34"/>
    </row>
    <row r="91" ht="15.75" customHeight="1">
      <c r="E91" s="33"/>
      <c r="G91" s="6"/>
      <c r="J91" s="34"/>
      <c r="K91" s="34"/>
    </row>
    <row r="92" ht="15.75" customHeight="1">
      <c r="E92" s="33"/>
      <c r="G92" s="6"/>
      <c r="J92" s="34"/>
      <c r="K92" s="34"/>
    </row>
    <row r="93" ht="15.75" customHeight="1">
      <c r="E93" s="33"/>
      <c r="G93" s="6"/>
      <c r="J93" s="34"/>
      <c r="K93" s="34"/>
    </row>
    <row r="94" ht="15.75" customHeight="1">
      <c r="E94" s="33"/>
      <c r="G94" s="6"/>
      <c r="J94" s="34"/>
      <c r="K94" s="34"/>
    </row>
    <row r="95" ht="15.75" customHeight="1">
      <c r="E95" s="33"/>
      <c r="G95" s="6"/>
      <c r="J95" s="34"/>
      <c r="K95" s="34"/>
    </row>
    <row r="96" ht="15.75" customHeight="1">
      <c r="E96" s="33"/>
      <c r="G96" s="6"/>
      <c r="J96" s="34"/>
      <c r="K96" s="34"/>
    </row>
    <row r="97" ht="15.75" customHeight="1">
      <c r="E97" s="33"/>
      <c r="G97" s="6"/>
      <c r="J97" s="34"/>
      <c r="K97" s="34"/>
    </row>
    <row r="98" ht="15.75" customHeight="1">
      <c r="E98" s="33"/>
      <c r="G98" s="6"/>
      <c r="J98" s="34"/>
      <c r="K98" s="34"/>
    </row>
    <row r="99" ht="15.75" customHeight="1">
      <c r="E99" s="33"/>
      <c r="G99" s="6"/>
      <c r="J99" s="34"/>
      <c r="K99" s="34"/>
    </row>
    <row r="100" ht="15.75" customHeight="1">
      <c r="E100" s="33"/>
      <c r="G100" s="6"/>
      <c r="J100" s="34"/>
      <c r="K100" s="34"/>
    </row>
    <row r="101" ht="15.75" customHeight="1">
      <c r="E101" s="33"/>
      <c r="G101" s="6"/>
      <c r="J101" s="34"/>
      <c r="K101" s="34"/>
    </row>
    <row r="102" ht="15.75" customHeight="1">
      <c r="E102" s="33"/>
      <c r="G102" s="6"/>
      <c r="J102" s="34"/>
      <c r="K102" s="34"/>
    </row>
    <row r="103" ht="15.75" customHeight="1">
      <c r="E103" s="33"/>
      <c r="G103" s="6"/>
      <c r="J103" s="34"/>
      <c r="K103" s="34"/>
    </row>
    <row r="104" ht="15.75" customHeight="1">
      <c r="E104" s="33"/>
      <c r="G104" s="6"/>
      <c r="J104" s="34"/>
      <c r="K104" s="34"/>
    </row>
    <row r="105" ht="15.75" customHeight="1">
      <c r="E105" s="33"/>
      <c r="G105" s="6"/>
      <c r="J105" s="34"/>
      <c r="K105" s="34"/>
    </row>
    <row r="106" ht="15.75" customHeight="1">
      <c r="E106" s="33"/>
      <c r="G106" s="6"/>
      <c r="J106" s="34"/>
      <c r="K106" s="34"/>
    </row>
    <row r="107" ht="15.75" customHeight="1">
      <c r="E107" s="33"/>
      <c r="G107" s="6"/>
      <c r="J107" s="34"/>
      <c r="K107" s="34"/>
    </row>
    <row r="108" ht="15.75" customHeight="1">
      <c r="E108" s="33"/>
      <c r="G108" s="6"/>
      <c r="J108" s="34"/>
      <c r="K108" s="34"/>
    </row>
    <row r="109" ht="15.75" customHeight="1">
      <c r="E109" s="33"/>
      <c r="G109" s="6"/>
      <c r="J109" s="34"/>
      <c r="K109" s="34"/>
    </row>
    <row r="110" ht="15.75" customHeight="1">
      <c r="E110" s="33"/>
      <c r="G110" s="6"/>
      <c r="J110" s="34"/>
      <c r="K110" s="34"/>
    </row>
    <row r="111" ht="15.75" customHeight="1">
      <c r="E111" s="33"/>
      <c r="G111" s="6"/>
      <c r="J111" s="34"/>
      <c r="K111" s="34"/>
    </row>
    <row r="112" ht="15.75" customHeight="1">
      <c r="E112" s="33"/>
      <c r="G112" s="6"/>
      <c r="J112" s="34"/>
      <c r="K112" s="34"/>
    </row>
    <row r="113" ht="15.75" customHeight="1">
      <c r="E113" s="33"/>
      <c r="G113" s="6"/>
      <c r="J113" s="34"/>
      <c r="K113" s="34"/>
    </row>
    <row r="114" ht="15.75" customHeight="1">
      <c r="E114" s="33"/>
      <c r="G114" s="6"/>
      <c r="J114" s="34"/>
      <c r="K114" s="34"/>
    </row>
    <row r="115" ht="15.75" customHeight="1">
      <c r="E115" s="33"/>
      <c r="G115" s="6"/>
      <c r="J115" s="34"/>
      <c r="K115" s="34"/>
    </row>
    <row r="116" ht="15.75" customHeight="1">
      <c r="E116" s="33"/>
      <c r="G116" s="6"/>
      <c r="J116" s="34"/>
      <c r="K116" s="34"/>
    </row>
    <row r="117" ht="15.75" customHeight="1">
      <c r="E117" s="33"/>
      <c r="G117" s="6"/>
      <c r="J117" s="34"/>
      <c r="K117" s="34"/>
    </row>
    <row r="118" ht="15.75" customHeight="1">
      <c r="E118" s="33"/>
      <c r="G118" s="6"/>
      <c r="J118" s="34"/>
      <c r="K118" s="34"/>
    </row>
    <row r="119" ht="15.75" customHeight="1">
      <c r="E119" s="33"/>
      <c r="G119" s="6"/>
      <c r="J119" s="34"/>
      <c r="K119" s="34"/>
    </row>
    <row r="120" ht="15.75" customHeight="1">
      <c r="E120" s="33"/>
      <c r="G120" s="6"/>
      <c r="J120" s="34"/>
      <c r="K120" s="34"/>
    </row>
    <row r="121" ht="15.75" customHeight="1">
      <c r="E121" s="33"/>
      <c r="G121" s="6"/>
      <c r="J121" s="34"/>
      <c r="K121" s="34"/>
    </row>
    <row r="122" ht="15.75" customHeight="1">
      <c r="E122" s="33"/>
      <c r="G122" s="6"/>
      <c r="J122" s="34"/>
      <c r="K122" s="34"/>
    </row>
    <row r="123" ht="15.75" customHeight="1">
      <c r="E123" s="33"/>
      <c r="G123" s="6"/>
      <c r="J123" s="34"/>
      <c r="K123" s="34"/>
    </row>
    <row r="124" ht="15.75" customHeight="1">
      <c r="E124" s="33"/>
      <c r="G124" s="6"/>
      <c r="J124" s="34"/>
      <c r="K124" s="34"/>
    </row>
    <row r="125" ht="15.75" customHeight="1">
      <c r="E125" s="33"/>
      <c r="G125" s="6"/>
      <c r="J125" s="34"/>
      <c r="K125" s="34"/>
    </row>
    <row r="126" ht="15.75" customHeight="1">
      <c r="E126" s="33"/>
      <c r="G126" s="6"/>
      <c r="J126" s="34"/>
      <c r="K126" s="34"/>
    </row>
    <row r="127" ht="15.75" customHeight="1">
      <c r="E127" s="33"/>
      <c r="G127" s="6"/>
      <c r="J127" s="34"/>
      <c r="K127" s="34"/>
    </row>
    <row r="128" ht="15.75" customHeight="1">
      <c r="E128" s="33"/>
      <c r="G128" s="6"/>
      <c r="J128" s="34"/>
      <c r="K128" s="34"/>
    </row>
    <row r="129" ht="15.75" customHeight="1">
      <c r="E129" s="33"/>
      <c r="G129" s="6"/>
      <c r="J129" s="34"/>
      <c r="K129" s="34"/>
    </row>
    <row r="130" ht="15.75" customHeight="1">
      <c r="E130" s="33"/>
      <c r="G130" s="6"/>
      <c r="J130" s="34"/>
      <c r="K130" s="34"/>
    </row>
    <row r="131" ht="15.75" customHeight="1">
      <c r="E131" s="33"/>
      <c r="G131" s="6"/>
      <c r="J131" s="34"/>
      <c r="K131" s="34"/>
    </row>
    <row r="132" ht="15.75" customHeight="1">
      <c r="E132" s="33"/>
      <c r="G132" s="6"/>
      <c r="J132" s="34"/>
      <c r="K132" s="34"/>
    </row>
    <row r="133" ht="15.75" customHeight="1">
      <c r="E133" s="33"/>
      <c r="G133" s="6"/>
      <c r="J133" s="34"/>
      <c r="K133" s="34"/>
    </row>
    <row r="134" ht="15.75" customHeight="1">
      <c r="E134" s="33"/>
      <c r="G134" s="6"/>
      <c r="J134" s="34"/>
      <c r="K134" s="34"/>
    </row>
    <row r="135" ht="15.75" customHeight="1">
      <c r="E135" s="33"/>
      <c r="G135" s="6"/>
      <c r="J135" s="34"/>
      <c r="K135" s="34"/>
    </row>
    <row r="136" ht="15.75" customHeight="1">
      <c r="E136" s="33"/>
      <c r="G136" s="6"/>
      <c r="J136" s="34"/>
      <c r="K136" s="34"/>
    </row>
    <row r="137" ht="15.75" customHeight="1">
      <c r="E137" s="33"/>
      <c r="G137" s="6"/>
      <c r="J137" s="34"/>
      <c r="K137" s="34"/>
    </row>
    <row r="138" ht="15.75" customHeight="1">
      <c r="E138" s="33"/>
      <c r="G138" s="6"/>
      <c r="J138" s="34"/>
      <c r="K138" s="34"/>
    </row>
    <row r="139" ht="15.75" customHeight="1">
      <c r="E139" s="33"/>
      <c r="G139" s="6"/>
      <c r="J139" s="34"/>
      <c r="K139" s="34"/>
    </row>
    <row r="140" ht="15.75" customHeight="1">
      <c r="E140" s="33"/>
      <c r="G140" s="6"/>
      <c r="J140" s="34"/>
      <c r="K140" s="34"/>
    </row>
    <row r="141" ht="15.75" customHeight="1">
      <c r="E141" s="33"/>
      <c r="G141" s="6"/>
      <c r="J141" s="34"/>
      <c r="K141" s="34"/>
    </row>
    <row r="142" ht="15.75" customHeight="1">
      <c r="E142" s="33"/>
      <c r="G142" s="6"/>
      <c r="J142" s="34"/>
      <c r="K142" s="34"/>
    </row>
    <row r="143" ht="15.75" customHeight="1">
      <c r="E143" s="33"/>
      <c r="G143" s="6"/>
      <c r="J143" s="34"/>
      <c r="K143" s="34"/>
    </row>
    <row r="144" ht="15.75" customHeight="1">
      <c r="E144" s="33"/>
      <c r="G144" s="6"/>
      <c r="J144" s="34"/>
      <c r="K144" s="34"/>
    </row>
    <row r="145" ht="15.75" customHeight="1">
      <c r="E145" s="33"/>
      <c r="G145" s="6"/>
      <c r="J145" s="34"/>
      <c r="K145" s="34"/>
    </row>
    <row r="146" ht="15.75" customHeight="1">
      <c r="E146" s="33"/>
      <c r="G146" s="6"/>
      <c r="J146" s="34"/>
      <c r="K146" s="34"/>
    </row>
    <row r="147" ht="15.75" customHeight="1">
      <c r="E147" s="33"/>
      <c r="G147" s="6"/>
      <c r="J147" s="34"/>
      <c r="K147" s="34"/>
    </row>
    <row r="148" ht="15.75" customHeight="1">
      <c r="E148" s="33"/>
      <c r="G148" s="6"/>
      <c r="J148" s="34"/>
      <c r="K148" s="34"/>
    </row>
    <row r="149" ht="15.75" customHeight="1">
      <c r="E149" s="33"/>
      <c r="G149" s="6"/>
      <c r="J149" s="34"/>
      <c r="K149" s="34"/>
    </row>
    <row r="150" ht="15.75" customHeight="1">
      <c r="E150" s="33"/>
      <c r="G150" s="6"/>
      <c r="J150" s="34"/>
      <c r="K150" s="34"/>
    </row>
    <row r="151" ht="15.75" customHeight="1">
      <c r="E151" s="33"/>
      <c r="G151" s="6"/>
      <c r="J151" s="34"/>
      <c r="K151" s="34"/>
    </row>
    <row r="152" ht="15.75" customHeight="1">
      <c r="E152" s="33"/>
      <c r="G152" s="6"/>
      <c r="J152" s="34"/>
      <c r="K152" s="34"/>
    </row>
    <row r="153" ht="15.75" customHeight="1">
      <c r="E153" s="33"/>
      <c r="G153" s="6"/>
      <c r="J153" s="34"/>
      <c r="K153" s="34"/>
    </row>
    <row r="154" ht="15.75" customHeight="1">
      <c r="E154" s="33"/>
      <c r="G154" s="6"/>
      <c r="J154" s="34"/>
      <c r="K154" s="34"/>
    </row>
    <row r="155" ht="15.75" customHeight="1">
      <c r="E155" s="33"/>
      <c r="G155" s="6"/>
      <c r="J155" s="34"/>
      <c r="K155" s="34"/>
    </row>
    <row r="156" ht="15.75" customHeight="1">
      <c r="E156" s="33"/>
      <c r="G156" s="6"/>
      <c r="J156" s="34"/>
      <c r="K156" s="34"/>
    </row>
    <row r="157" ht="15.75" customHeight="1">
      <c r="E157" s="33"/>
      <c r="G157" s="6"/>
      <c r="J157" s="34"/>
      <c r="K157" s="34"/>
    </row>
    <row r="158" ht="15.75" customHeight="1">
      <c r="E158" s="33"/>
      <c r="G158" s="6"/>
      <c r="J158" s="34"/>
      <c r="K158" s="34"/>
    </row>
    <row r="159" ht="15.75" customHeight="1">
      <c r="E159" s="33"/>
      <c r="G159" s="6"/>
      <c r="J159" s="34"/>
      <c r="K159" s="34"/>
    </row>
    <row r="160" ht="15.75" customHeight="1">
      <c r="E160" s="33"/>
      <c r="G160" s="6"/>
      <c r="J160" s="34"/>
      <c r="K160" s="34"/>
    </row>
    <row r="161" ht="15.75" customHeight="1">
      <c r="E161" s="33"/>
      <c r="G161" s="6"/>
      <c r="J161" s="34"/>
      <c r="K161" s="34"/>
    </row>
    <row r="162" ht="15.75" customHeight="1">
      <c r="E162" s="33"/>
      <c r="G162" s="6"/>
      <c r="J162" s="34"/>
      <c r="K162" s="34"/>
    </row>
    <row r="163" ht="15.75" customHeight="1">
      <c r="E163" s="33"/>
      <c r="G163" s="6"/>
      <c r="J163" s="34"/>
      <c r="K163" s="34"/>
    </row>
    <row r="164" ht="15.75" customHeight="1">
      <c r="E164" s="33"/>
      <c r="G164" s="6"/>
      <c r="J164" s="34"/>
      <c r="K164" s="34"/>
    </row>
    <row r="165" ht="15.75" customHeight="1">
      <c r="E165" s="33"/>
      <c r="G165" s="6"/>
      <c r="J165" s="34"/>
      <c r="K165" s="34"/>
    </row>
    <row r="166" ht="15.75" customHeight="1">
      <c r="E166" s="33"/>
      <c r="G166" s="6"/>
      <c r="J166" s="34"/>
      <c r="K166" s="34"/>
    </row>
    <row r="167" ht="15.75" customHeight="1">
      <c r="E167" s="33"/>
      <c r="G167" s="6"/>
      <c r="J167" s="34"/>
      <c r="K167" s="34"/>
    </row>
    <row r="168" ht="15.75" customHeight="1">
      <c r="E168" s="33"/>
      <c r="G168" s="6"/>
      <c r="J168" s="34"/>
      <c r="K168" s="34"/>
    </row>
    <row r="169" ht="15.75" customHeight="1">
      <c r="E169" s="33"/>
      <c r="G169" s="6"/>
      <c r="J169" s="34"/>
      <c r="K169" s="34"/>
    </row>
    <row r="170" ht="15.75" customHeight="1">
      <c r="E170" s="33"/>
      <c r="G170" s="6"/>
      <c r="J170" s="34"/>
      <c r="K170" s="34"/>
    </row>
    <row r="171" ht="15.75" customHeight="1">
      <c r="E171" s="33"/>
      <c r="G171" s="6"/>
      <c r="J171" s="34"/>
      <c r="K171" s="34"/>
    </row>
    <row r="172" ht="15.75" customHeight="1">
      <c r="E172" s="33"/>
      <c r="G172" s="6"/>
      <c r="J172" s="34"/>
      <c r="K172" s="34"/>
    </row>
    <row r="173" ht="15.75" customHeight="1">
      <c r="E173" s="33"/>
      <c r="G173" s="6"/>
      <c r="J173" s="34"/>
      <c r="K173" s="34"/>
    </row>
    <row r="174" ht="15.75" customHeight="1">
      <c r="E174" s="33"/>
      <c r="G174" s="6"/>
      <c r="J174" s="34"/>
      <c r="K174" s="34"/>
    </row>
    <row r="175" ht="15.75" customHeight="1">
      <c r="E175" s="33"/>
      <c r="G175" s="6"/>
      <c r="J175" s="34"/>
      <c r="K175" s="34"/>
    </row>
    <row r="176" ht="15.75" customHeight="1">
      <c r="E176" s="33"/>
      <c r="G176" s="6"/>
      <c r="J176" s="34"/>
      <c r="K176" s="34"/>
    </row>
    <row r="177" ht="15.75" customHeight="1">
      <c r="E177" s="33"/>
      <c r="G177" s="6"/>
      <c r="J177" s="34"/>
      <c r="K177" s="34"/>
    </row>
    <row r="178" ht="15.75" customHeight="1">
      <c r="E178" s="33"/>
      <c r="G178" s="6"/>
      <c r="J178" s="34"/>
      <c r="K178" s="34"/>
    </row>
    <row r="179" ht="15.75" customHeight="1">
      <c r="E179" s="33"/>
      <c r="G179" s="6"/>
      <c r="J179" s="34"/>
      <c r="K179" s="34"/>
    </row>
    <row r="180" ht="15.75" customHeight="1">
      <c r="E180" s="33"/>
      <c r="G180" s="6"/>
      <c r="J180" s="34"/>
      <c r="K180" s="34"/>
    </row>
    <row r="181" ht="15.75" customHeight="1">
      <c r="E181" s="33"/>
      <c r="G181" s="6"/>
      <c r="J181" s="34"/>
      <c r="K181" s="34"/>
    </row>
    <row r="182" ht="15.75" customHeight="1">
      <c r="E182" s="33"/>
      <c r="G182" s="6"/>
      <c r="J182" s="34"/>
      <c r="K182" s="34"/>
    </row>
    <row r="183" ht="15.75" customHeight="1">
      <c r="E183" s="33"/>
      <c r="G183" s="6"/>
      <c r="J183" s="34"/>
      <c r="K183" s="34"/>
    </row>
    <row r="184" ht="15.75" customHeight="1">
      <c r="E184" s="33"/>
      <c r="G184" s="6"/>
      <c r="J184" s="34"/>
      <c r="K184" s="34"/>
    </row>
    <row r="185" ht="15.75" customHeight="1">
      <c r="E185" s="33"/>
      <c r="G185" s="6"/>
      <c r="J185" s="34"/>
      <c r="K185" s="34"/>
    </row>
    <row r="186" ht="15.75" customHeight="1">
      <c r="E186" s="33"/>
      <c r="G186" s="6"/>
      <c r="J186" s="34"/>
      <c r="K186" s="34"/>
    </row>
    <row r="187" ht="15.75" customHeight="1">
      <c r="E187" s="33"/>
      <c r="G187" s="6"/>
      <c r="J187" s="34"/>
      <c r="K187" s="34"/>
    </row>
    <row r="188" ht="15.75" customHeight="1">
      <c r="E188" s="33"/>
      <c r="G188" s="6"/>
      <c r="J188" s="34"/>
      <c r="K188" s="34"/>
    </row>
    <row r="189" ht="15.75" customHeight="1">
      <c r="E189" s="33"/>
      <c r="G189" s="6"/>
      <c r="J189" s="34"/>
      <c r="K189" s="34"/>
    </row>
    <row r="190" ht="15.75" customHeight="1">
      <c r="E190" s="33"/>
      <c r="G190" s="6"/>
      <c r="J190" s="34"/>
      <c r="K190" s="34"/>
    </row>
    <row r="191" ht="15.75" customHeight="1">
      <c r="E191" s="33"/>
      <c r="G191" s="6"/>
      <c r="J191" s="34"/>
      <c r="K191" s="34"/>
    </row>
    <row r="192" ht="15.75" customHeight="1">
      <c r="E192" s="33"/>
      <c r="G192" s="6"/>
      <c r="J192" s="34"/>
      <c r="K192" s="34"/>
    </row>
    <row r="193" ht="15.75" customHeight="1">
      <c r="E193" s="33"/>
      <c r="G193" s="6"/>
      <c r="J193" s="34"/>
      <c r="K193" s="34"/>
    </row>
    <row r="194" ht="15.75" customHeight="1">
      <c r="E194" s="33"/>
      <c r="G194" s="6"/>
      <c r="J194" s="34"/>
      <c r="K194" s="34"/>
    </row>
    <row r="195" ht="15.75" customHeight="1">
      <c r="E195" s="33"/>
      <c r="G195" s="6"/>
      <c r="J195" s="34"/>
      <c r="K195" s="34"/>
    </row>
    <row r="196" ht="15.75" customHeight="1">
      <c r="E196" s="33"/>
      <c r="G196" s="6"/>
      <c r="J196" s="34"/>
      <c r="K196" s="34"/>
    </row>
    <row r="197" ht="15.75" customHeight="1">
      <c r="E197" s="33"/>
      <c r="G197" s="6"/>
      <c r="J197" s="34"/>
      <c r="K197" s="34"/>
    </row>
    <row r="198" ht="15.75" customHeight="1">
      <c r="E198" s="33"/>
      <c r="G198" s="6"/>
      <c r="J198" s="34"/>
      <c r="K198" s="34"/>
    </row>
    <row r="199" ht="15.75" customHeight="1">
      <c r="E199" s="33"/>
      <c r="G199" s="6"/>
      <c r="J199" s="34"/>
      <c r="K199" s="34"/>
    </row>
    <row r="200" ht="15.75" customHeight="1">
      <c r="E200" s="33"/>
      <c r="G200" s="6"/>
      <c r="J200" s="34"/>
      <c r="K200" s="34"/>
    </row>
    <row r="201" ht="15.75" customHeight="1">
      <c r="E201" s="33"/>
      <c r="G201" s="6"/>
      <c r="J201" s="34"/>
      <c r="K201" s="34"/>
    </row>
    <row r="202" ht="15.75" customHeight="1">
      <c r="E202" s="33"/>
      <c r="G202" s="6"/>
      <c r="J202" s="34"/>
      <c r="K202" s="34"/>
    </row>
    <row r="203" ht="15.75" customHeight="1">
      <c r="E203" s="33"/>
      <c r="G203" s="6"/>
      <c r="J203" s="34"/>
      <c r="K203" s="34"/>
    </row>
    <row r="204" ht="15.75" customHeight="1">
      <c r="E204" s="33"/>
      <c r="G204" s="6"/>
      <c r="J204" s="34"/>
      <c r="K204" s="34"/>
    </row>
    <row r="205" ht="15.75" customHeight="1">
      <c r="E205" s="33"/>
      <c r="G205" s="6"/>
      <c r="J205" s="34"/>
      <c r="K205" s="34"/>
    </row>
    <row r="206" ht="15.75" customHeight="1">
      <c r="E206" s="33"/>
      <c r="G206" s="6"/>
      <c r="J206" s="34"/>
      <c r="K206" s="34"/>
    </row>
    <row r="207" ht="15.75" customHeight="1">
      <c r="E207" s="33"/>
      <c r="G207" s="6"/>
      <c r="J207" s="34"/>
      <c r="K207" s="34"/>
    </row>
    <row r="208" ht="15.75" customHeight="1">
      <c r="E208" s="33"/>
      <c r="G208" s="6"/>
      <c r="J208" s="34"/>
      <c r="K208" s="34"/>
    </row>
    <row r="209" ht="15.75" customHeight="1">
      <c r="E209" s="33"/>
      <c r="G209" s="6"/>
      <c r="J209" s="34"/>
      <c r="K209" s="34"/>
    </row>
    <row r="210" ht="15.75" customHeight="1">
      <c r="E210" s="33"/>
      <c r="G210" s="6"/>
      <c r="J210" s="34"/>
      <c r="K210" s="34"/>
    </row>
    <row r="211" ht="15.75" customHeight="1">
      <c r="E211" s="33"/>
      <c r="G211" s="6"/>
      <c r="J211" s="34"/>
      <c r="K211" s="34"/>
    </row>
    <row r="212" ht="15.75" customHeight="1">
      <c r="E212" s="33"/>
      <c r="G212" s="6"/>
      <c r="J212" s="34"/>
      <c r="K212" s="34"/>
    </row>
    <row r="213" ht="15.75" customHeight="1">
      <c r="E213" s="33"/>
      <c r="G213" s="6"/>
      <c r="J213" s="34"/>
      <c r="K213" s="34"/>
    </row>
    <row r="214" ht="15.75" customHeight="1">
      <c r="E214" s="33"/>
      <c r="G214" s="6"/>
      <c r="J214" s="34"/>
      <c r="K214" s="34"/>
    </row>
    <row r="215" ht="15.75" customHeight="1">
      <c r="E215" s="33"/>
      <c r="G215" s="6"/>
      <c r="J215" s="34"/>
      <c r="K215" s="34"/>
    </row>
    <row r="216" ht="15.75" customHeight="1">
      <c r="E216" s="33"/>
      <c r="G216" s="6"/>
      <c r="J216" s="34"/>
      <c r="K216" s="34"/>
    </row>
    <row r="217" ht="15.75" customHeight="1">
      <c r="E217" s="33"/>
      <c r="G217" s="6"/>
      <c r="J217" s="34"/>
      <c r="K217" s="34"/>
    </row>
    <row r="218" ht="15.75" customHeight="1">
      <c r="E218" s="33"/>
      <c r="G218" s="6"/>
      <c r="J218" s="34"/>
      <c r="K218" s="34"/>
    </row>
    <row r="219" ht="15.75" customHeight="1">
      <c r="E219" s="33"/>
      <c r="G219" s="6"/>
      <c r="J219" s="34"/>
      <c r="K219" s="34"/>
    </row>
    <row r="220" ht="15.75" customHeight="1">
      <c r="E220" s="33"/>
      <c r="G220" s="6"/>
      <c r="J220" s="34"/>
      <c r="K220" s="34"/>
    </row>
    <row r="221" ht="15.75" customHeight="1">
      <c r="E221" s="33"/>
      <c r="G221" s="6"/>
      <c r="J221" s="34"/>
      <c r="K221" s="34"/>
    </row>
    <row r="222" ht="15.75" customHeight="1">
      <c r="E222" s="33"/>
      <c r="G222" s="6"/>
      <c r="J222" s="34"/>
      <c r="K222" s="34"/>
    </row>
    <row r="223" ht="15.75" customHeight="1">
      <c r="E223" s="33"/>
      <c r="G223" s="6"/>
      <c r="J223" s="34"/>
      <c r="K223" s="34"/>
    </row>
    <row r="224" ht="15.75" customHeight="1">
      <c r="E224" s="33"/>
      <c r="G224" s="6"/>
      <c r="J224" s="34"/>
      <c r="K224" s="34"/>
    </row>
    <row r="225" ht="15.75" customHeight="1">
      <c r="E225" s="33"/>
      <c r="G225" s="6"/>
      <c r="J225" s="34"/>
      <c r="K225" s="34"/>
    </row>
    <row r="226" ht="15.75" customHeight="1">
      <c r="E226" s="33"/>
      <c r="G226" s="6"/>
      <c r="J226" s="34"/>
      <c r="K226" s="34"/>
    </row>
    <row r="227" ht="15.75" customHeight="1">
      <c r="E227" s="33"/>
      <c r="G227" s="6"/>
      <c r="J227" s="34"/>
      <c r="K227" s="34"/>
    </row>
    <row r="228" ht="15.75" customHeight="1">
      <c r="E228" s="33"/>
      <c r="G228" s="6"/>
      <c r="J228" s="34"/>
      <c r="K228" s="34"/>
    </row>
    <row r="229" ht="15.75" customHeight="1">
      <c r="E229" s="33"/>
      <c r="G229" s="6"/>
      <c r="J229" s="34"/>
      <c r="K229" s="34"/>
    </row>
    <row r="230" ht="15.75" customHeight="1">
      <c r="E230" s="33"/>
      <c r="G230" s="6"/>
      <c r="J230" s="34"/>
      <c r="K230" s="34"/>
    </row>
    <row r="231" ht="15.75" customHeight="1">
      <c r="E231" s="33"/>
      <c r="G231" s="6"/>
      <c r="J231" s="34"/>
      <c r="K231" s="34"/>
    </row>
    <row r="232" ht="15.75" customHeight="1">
      <c r="E232" s="33"/>
      <c r="G232" s="6"/>
      <c r="J232" s="34"/>
      <c r="K232" s="34"/>
    </row>
    <row r="233" ht="15.75" customHeight="1">
      <c r="E233" s="33"/>
      <c r="G233" s="6"/>
      <c r="J233" s="34"/>
      <c r="K233" s="34"/>
    </row>
    <row r="234" ht="15.75" customHeight="1">
      <c r="E234" s="33"/>
      <c r="G234" s="6"/>
      <c r="J234" s="34"/>
      <c r="K234" s="34"/>
    </row>
    <row r="235" ht="15.75" customHeight="1">
      <c r="E235" s="33"/>
      <c r="G235" s="6"/>
      <c r="J235" s="34"/>
      <c r="K235" s="34"/>
    </row>
    <row r="236" ht="15.75" customHeight="1">
      <c r="E236" s="33"/>
      <c r="G236" s="6"/>
      <c r="J236" s="34"/>
      <c r="K236" s="34"/>
    </row>
    <row r="237" ht="15.75" customHeight="1">
      <c r="E237" s="33"/>
      <c r="G237" s="6"/>
      <c r="J237" s="34"/>
      <c r="K237" s="34"/>
    </row>
    <row r="238" ht="15.75" customHeight="1">
      <c r="E238" s="33"/>
      <c r="G238" s="6"/>
      <c r="J238" s="34"/>
      <c r="K238" s="34"/>
    </row>
    <row r="239" ht="15.75" customHeight="1">
      <c r="E239" s="33"/>
      <c r="G239" s="6"/>
      <c r="J239" s="34"/>
      <c r="K239" s="34"/>
    </row>
    <row r="240" ht="15.75" customHeight="1">
      <c r="E240" s="33"/>
      <c r="G240" s="6"/>
      <c r="J240" s="34"/>
      <c r="K240" s="34"/>
    </row>
    <row r="241" ht="15.75" customHeight="1">
      <c r="E241" s="33"/>
      <c r="G241" s="6"/>
      <c r="J241" s="34"/>
      <c r="K241" s="34"/>
    </row>
    <row r="242" ht="15.75" customHeight="1">
      <c r="E242" s="33"/>
      <c r="G242" s="6"/>
      <c r="J242" s="34"/>
      <c r="K242" s="34"/>
    </row>
    <row r="243" ht="15.75" customHeight="1">
      <c r="E243" s="33"/>
      <c r="G243" s="6"/>
      <c r="J243" s="34"/>
      <c r="K243" s="34"/>
    </row>
    <row r="244" ht="15.75" customHeight="1">
      <c r="E244" s="33"/>
      <c r="G244" s="6"/>
      <c r="J244" s="34"/>
      <c r="K244" s="34"/>
    </row>
    <row r="245" ht="15.75" customHeight="1">
      <c r="E245" s="33"/>
      <c r="G245" s="6"/>
      <c r="J245" s="34"/>
      <c r="K245" s="34"/>
    </row>
    <row r="246" ht="15.75" customHeight="1">
      <c r="E246" s="33"/>
      <c r="G246" s="6"/>
      <c r="J246" s="34"/>
      <c r="K246" s="34"/>
    </row>
    <row r="247" ht="15.75" customHeight="1">
      <c r="E247" s="33"/>
      <c r="G247" s="6"/>
      <c r="J247" s="34"/>
      <c r="K247" s="34"/>
    </row>
    <row r="248" ht="15.75" customHeight="1">
      <c r="E248" s="33"/>
      <c r="G248" s="6"/>
      <c r="J248" s="34"/>
      <c r="K248" s="34"/>
    </row>
    <row r="249" ht="15.75" customHeight="1">
      <c r="E249" s="33"/>
      <c r="G249" s="6"/>
      <c r="J249" s="34"/>
      <c r="K249" s="34"/>
    </row>
    <row r="250" ht="15.75" customHeight="1">
      <c r="E250" s="33"/>
      <c r="G250" s="6"/>
      <c r="J250" s="34"/>
      <c r="K250" s="34"/>
    </row>
    <row r="251" ht="15.75" customHeight="1">
      <c r="E251" s="33"/>
      <c r="G251" s="6"/>
      <c r="J251" s="34"/>
      <c r="K251" s="34"/>
    </row>
    <row r="252" ht="15.75" customHeight="1">
      <c r="E252" s="33"/>
      <c r="G252" s="6"/>
      <c r="J252" s="34"/>
      <c r="K252" s="34"/>
    </row>
    <row r="253" ht="15.75" customHeight="1">
      <c r="E253" s="33"/>
      <c r="G253" s="6"/>
      <c r="J253" s="34"/>
      <c r="K253" s="34"/>
    </row>
    <row r="254" ht="15.75" customHeight="1">
      <c r="E254" s="33"/>
      <c r="G254" s="6"/>
      <c r="J254" s="34"/>
      <c r="K254" s="34"/>
    </row>
    <row r="255" ht="15.75" customHeight="1">
      <c r="E255" s="33"/>
      <c r="G255" s="6"/>
      <c r="J255" s="34"/>
      <c r="K255" s="34"/>
    </row>
    <row r="256" ht="15.75" customHeight="1">
      <c r="E256" s="33"/>
      <c r="G256" s="6"/>
      <c r="J256" s="34"/>
      <c r="K256" s="34"/>
    </row>
    <row r="257" ht="15.75" customHeight="1">
      <c r="E257" s="33"/>
      <c r="G257" s="6"/>
      <c r="J257" s="34"/>
      <c r="K257" s="34"/>
    </row>
    <row r="258" ht="15.75" customHeight="1">
      <c r="E258" s="33"/>
      <c r="G258" s="6"/>
      <c r="J258" s="34"/>
      <c r="K258" s="3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58">
    <filterColumn colId="11">
      <filters>
        <filter val="INVOICE SENT"/>
      </filters>
    </filterColumn>
  </autoFilter>
  <dataValidations>
    <dataValidation type="list" allowBlank="1" showErrorMessage="1" sqref="L2 L4:L8 L10:L58">
      <formula1>"INVOICE NOT SENT,INVOICE SENT "</formula1>
    </dataValidation>
    <dataValidation type="list" allowBlank="1" showErrorMessage="1" sqref="M2 L3:M3 M4:M8 L9:M9 M10:M58">
      <formula1>"LEFT,ACTIVE"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0.14"/>
    <col customWidth="1" min="4" max="5" width="14.43"/>
    <col customWidth="1" min="6" max="6" width="28.29"/>
    <col customWidth="1" min="7" max="7" width="30.43"/>
    <col customWidth="1" min="8" max="8" width="36.14"/>
    <col customWidth="1" min="11" max="11" width="28.57"/>
    <col customWidth="1" min="12" max="12" width="22.71"/>
    <col customWidth="1" min="14" max="14" width="28.57"/>
    <col customWidth="1" min="15" max="15" width="30.29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20</v>
      </c>
      <c r="K1" s="1" t="s">
        <v>11</v>
      </c>
      <c r="L1" s="3" t="s">
        <v>21</v>
      </c>
      <c r="M1" s="1" t="s">
        <v>23</v>
      </c>
      <c r="N1" s="1" t="s">
        <v>11</v>
      </c>
      <c r="O1" s="1" t="s">
        <v>24</v>
      </c>
      <c r="P1" s="1" t="s">
        <v>13</v>
      </c>
      <c r="Q1" s="5"/>
      <c r="R1" s="5"/>
      <c r="S1" s="5"/>
      <c r="T1" s="5"/>
      <c r="U1" s="5"/>
      <c r="V1" s="5"/>
      <c r="W1" s="5"/>
    </row>
    <row r="2" ht="15.75" customHeight="1">
      <c r="A2" s="6" t="s">
        <v>25</v>
      </c>
      <c r="B2" s="6" t="s">
        <v>16</v>
      </c>
      <c r="C2" s="11" t="s">
        <v>26</v>
      </c>
      <c r="D2" s="11" t="s">
        <v>16</v>
      </c>
      <c r="E2" s="12" t="s">
        <v>27</v>
      </c>
      <c r="F2" s="11" t="s">
        <v>28</v>
      </c>
      <c r="G2" s="11" t="s">
        <v>29</v>
      </c>
      <c r="H2" s="13" t="s">
        <v>19</v>
      </c>
      <c r="I2" s="13" t="s">
        <v>30</v>
      </c>
      <c r="J2" s="14" t="s">
        <v>16</v>
      </c>
      <c r="K2" s="11" t="s">
        <v>16</v>
      </c>
      <c r="L2" s="15">
        <v>1250.0</v>
      </c>
      <c r="M2" s="13" t="s">
        <v>31</v>
      </c>
      <c r="N2" s="6" t="s">
        <v>33</v>
      </c>
      <c r="O2" s="6" t="s">
        <v>35</v>
      </c>
    </row>
    <row r="3" ht="15.75" customHeight="1">
      <c r="A3" s="6" t="s">
        <v>37</v>
      </c>
      <c r="B3" s="6" t="s">
        <v>16</v>
      </c>
      <c r="C3" s="11" t="s">
        <v>39</v>
      </c>
      <c r="D3" s="11" t="s">
        <v>16</v>
      </c>
      <c r="E3" s="12" t="s">
        <v>40</v>
      </c>
      <c r="F3" s="11" t="s">
        <v>42</v>
      </c>
      <c r="G3" s="11" t="s">
        <v>43</v>
      </c>
      <c r="H3" s="13" t="s">
        <v>45</v>
      </c>
      <c r="I3" s="13" t="s">
        <v>30</v>
      </c>
      <c r="J3" s="14">
        <v>2500.0</v>
      </c>
      <c r="K3" s="11" t="s">
        <v>33</v>
      </c>
      <c r="L3" s="15">
        <v>5525.0</v>
      </c>
      <c r="M3" s="13" t="s">
        <v>31</v>
      </c>
      <c r="N3" s="16" t="s">
        <v>33</v>
      </c>
      <c r="O3" s="6" t="s">
        <v>47</v>
      </c>
    </row>
    <row r="4" ht="15.75" customHeight="1">
      <c r="A4" s="6" t="s">
        <v>49</v>
      </c>
      <c r="B4" s="6" t="s">
        <v>16</v>
      </c>
      <c r="C4" s="11" t="s">
        <v>51</v>
      </c>
      <c r="D4" s="11" t="s">
        <v>16</v>
      </c>
      <c r="E4" s="12" t="s">
        <v>53</v>
      </c>
      <c r="F4" s="11" t="s">
        <v>55</v>
      </c>
      <c r="G4" s="11" t="s">
        <v>56</v>
      </c>
      <c r="H4" s="13" t="s">
        <v>19</v>
      </c>
      <c r="I4" s="13" t="s">
        <v>30</v>
      </c>
      <c r="J4" s="14" t="s">
        <v>16</v>
      </c>
      <c r="K4" s="11" t="s">
        <v>16</v>
      </c>
      <c r="L4" s="15">
        <v>1350.0</v>
      </c>
      <c r="M4" s="13" t="s">
        <v>31</v>
      </c>
      <c r="N4" s="6" t="s">
        <v>33</v>
      </c>
      <c r="O4" s="6" t="s">
        <v>47</v>
      </c>
    </row>
    <row r="5" ht="15.75" customHeight="1">
      <c r="A5" s="6" t="s">
        <v>57</v>
      </c>
      <c r="B5" s="6" t="s">
        <v>16</v>
      </c>
      <c r="C5" s="11" t="s">
        <v>58</v>
      </c>
      <c r="D5" s="11" t="s">
        <v>16</v>
      </c>
      <c r="E5" s="12" t="s">
        <v>59</v>
      </c>
      <c r="F5" s="11" t="s">
        <v>60</v>
      </c>
      <c r="G5" s="11" t="s">
        <v>61</v>
      </c>
      <c r="H5" s="13" t="s">
        <v>19</v>
      </c>
      <c r="I5" s="13" t="s">
        <v>30</v>
      </c>
      <c r="J5" s="14" t="s">
        <v>16</v>
      </c>
      <c r="K5" s="11" t="s">
        <v>16</v>
      </c>
      <c r="L5" s="15">
        <v>650.0</v>
      </c>
      <c r="M5" s="13" t="s">
        <v>31</v>
      </c>
      <c r="N5" s="6" t="s">
        <v>33</v>
      </c>
      <c r="O5" s="6" t="s">
        <v>66</v>
      </c>
    </row>
    <row r="6">
      <c r="A6" s="6" t="s">
        <v>67</v>
      </c>
      <c r="B6" s="6" t="s">
        <v>16</v>
      </c>
      <c r="C6" s="21" t="s">
        <v>68</v>
      </c>
      <c r="D6" s="11" t="s">
        <v>16</v>
      </c>
      <c r="E6" s="22" t="s">
        <v>71</v>
      </c>
      <c r="F6" s="21" t="s">
        <v>73</v>
      </c>
      <c r="G6" s="21" t="s">
        <v>75</v>
      </c>
      <c r="H6" s="13" t="s">
        <v>16</v>
      </c>
      <c r="I6" s="13" t="s">
        <v>16</v>
      </c>
      <c r="J6" s="14">
        <v>5700.0</v>
      </c>
      <c r="K6" s="11" t="s">
        <v>33</v>
      </c>
      <c r="L6" s="15">
        <v>11400.0</v>
      </c>
      <c r="M6" s="13" t="s">
        <v>77</v>
      </c>
      <c r="N6" s="6" t="s">
        <v>33</v>
      </c>
      <c r="O6" s="6" t="s">
        <v>78</v>
      </c>
    </row>
    <row r="7">
      <c r="A7" s="6" t="s">
        <v>79</v>
      </c>
      <c r="B7" s="6" t="s">
        <v>16</v>
      </c>
      <c r="C7" s="21" t="s">
        <v>80</v>
      </c>
      <c r="D7" s="11" t="s">
        <v>16</v>
      </c>
      <c r="E7" s="22" t="s">
        <v>81</v>
      </c>
      <c r="F7" s="21" t="s">
        <v>84</v>
      </c>
      <c r="G7" s="21" t="s">
        <v>85</v>
      </c>
      <c r="H7" s="13" t="s">
        <v>87</v>
      </c>
      <c r="I7" s="13" t="s">
        <v>16</v>
      </c>
      <c r="J7" s="14">
        <v>6155.0</v>
      </c>
      <c r="K7" s="11" t="s">
        <v>33</v>
      </c>
      <c r="L7" s="15">
        <v>12307.45</v>
      </c>
      <c r="M7" s="13" t="s">
        <v>89</v>
      </c>
      <c r="N7" s="6" t="s">
        <v>33</v>
      </c>
      <c r="O7" s="6" t="s">
        <v>78</v>
      </c>
    </row>
    <row r="8">
      <c r="A8" s="23" t="s">
        <v>62</v>
      </c>
      <c r="B8" s="24" t="s">
        <v>16</v>
      </c>
      <c r="C8" s="25" t="s">
        <v>63</v>
      </c>
      <c r="D8" s="26" t="s">
        <v>16</v>
      </c>
      <c r="E8" s="18" t="s">
        <v>64</v>
      </c>
      <c r="F8" s="25" t="s">
        <v>16</v>
      </c>
      <c r="G8" s="17" t="s">
        <v>65</v>
      </c>
      <c r="H8" s="27" t="s">
        <v>16</v>
      </c>
      <c r="I8" s="27" t="s">
        <v>16</v>
      </c>
      <c r="J8" s="28">
        <v>650.0</v>
      </c>
      <c r="K8" s="26" t="s">
        <v>34</v>
      </c>
      <c r="L8" s="29">
        <v>1300.0</v>
      </c>
      <c r="M8" s="27" t="s">
        <v>99</v>
      </c>
      <c r="N8" s="16" t="s">
        <v>34</v>
      </c>
      <c r="O8" s="24" t="s">
        <v>100</v>
      </c>
    </row>
    <row r="9">
      <c r="A9" s="23" t="s">
        <v>101</v>
      </c>
      <c r="B9" s="24" t="s">
        <v>16</v>
      </c>
      <c r="C9" s="25" t="s">
        <v>63</v>
      </c>
      <c r="D9" s="26" t="s">
        <v>16</v>
      </c>
      <c r="E9" s="18" t="s">
        <v>104</v>
      </c>
      <c r="F9" s="24" t="s">
        <v>16</v>
      </c>
      <c r="G9" s="24" t="s">
        <v>106</v>
      </c>
      <c r="H9" s="30" t="s">
        <v>16</v>
      </c>
      <c r="I9" s="30" t="s">
        <v>16</v>
      </c>
      <c r="J9" s="31">
        <v>3000.0</v>
      </c>
      <c r="K9" s="26" t="s">
        <v>108</v>
      </c>
      <c r="L9" s="32">
        <v>3000.0</v>
      </c>
      <c r="M9" s="30" t="s">
        <v>99</v>
      </c>
      <c r="N9" s="16" t="s">
        <v>108</v>
      </c>
      <c r="O9" s="24" t="s">
        <v>111</v>
      </c>
    </row>
    <row r="10">
      <c r="E10" s="33"/>
      <c r="J10" s="34"/>
      <c r="L10" s="34"/>
    </row>
    <row r="11">
      <c r="E11" s="33"/>
      <c r="J11" s="34"/>
      <c r="L11" s="34"/>
    </row>
    <row r="12">
      <c r="E12" s="33"/>
      <c r="J12" s="34"/>
      <c r="L12" s="34"/>
    </row>
    <row r="13">
      <c r="E13" s="33"/>
      <c r="J13" s="34"/>
      <c r="L13" s="34"/>
    </row>
    <row r="14">
      <c r="E14" s="33"/>
      <c r="J14" s="34"/>
      <c r="L14" s="34"/>
    </row>
    <row r="15">
      <c r="E15" s="33"/>
      <c r="J15" s="34"/>
      <c r="L15" s="34"/>
    </row>
    <row r="16">
      <c r="E16" s="33"/>
      <c r="J16" s="34"/>
      <c r="L16" s="34"/>
    </row>
    <row r="17">
      <c r="E17" s="33"/>
      <c r="J17" s="34"/>
      <c r="L17" s="34"/>
    </row>
    <row r="18">
      <c r="E18" s="33"/>
      <c r="J18" s="34"/>
      <c r="L18" s="34"/>
    </row>
    <row r="19">
      <c r="E19" s="33"/>
      <c r="J19" s="34"/>
      <c r="L19" s="34"/>
    </row>
    <row r="20">
      <c r="E20" s="33"/>
      <c r="J20" s="34"/>
      <c r="L20" s="34"/>
    </row>
    <row r="21" ht="15.75" customHeight="1">
      <c r="E21" s="33"/>
      <c r="J21" s="34"/>
      <c r="L21" s="34"/>
    </row>
    <row r="22" ht="15.75" customHeight="1">
      <c r="E22" s="33"/>
      <c r="J22" s="34"/>
      <c r="L22" s="34"/>
    </row>
    <row r="23" ht="15.75" customHeight="1">
      <c r="E23" s="33"/>
      <c r="J23" s="34"/>
      <c r="L23" s="34"/>
    </row>
    <row r="24" ht="15.75" customHeight="1">
      <c r="E24" s="33"/>
      <c r="J24" s="34"/>
      <c r="L24" s="34"/>
    </row>
    <row r="25" ht="15.75" customHeight="1">
      <c r="E25" s="33"/>
      <c r="J25" s="34"/>
      <c r="L25" s="34"/>
    </row>
    <row r="26" ht="15.75" customHeight="1">
      <c r="E26" s="33"/>
      <c r="J26" s="34"/>
      <c r="L26" s="34"/>
    </row>
    <row r="27" ht="15.75" customHeight="1">
      <c r="E27" s="33"/>
      <c r="J27" s="34"/>
      <c r="L27" s="34"/>
    </row>
    <row r="28" ht="15.75" customHeight="1">
      <c r="E28" s="33"/>
      <c r="J28" s="34"/>
      <c r="L28" s="34"/>
    </row>
    <row r="29" ht="15.75" customHeight="1">
      <c r="E29" s="33"/>
      <c r="J29" s="34"/>
      <c r="L29" s="34"/>
    </row>
    <row r="30" ht="15.75" customHeight="1">
      <c r="E30" s="33"/>
      <c r="J30" s="34"/>
      <c r="L30" s="34"/>
    </row>
    <row r="31" ht="15.75" customHeight="1">
      <c r="E31" s="33"/>
      <c r="J31" s="34"/>
      <c r="L31" s="34"/>
    </row>
    <row r="32" ht="15.75" customHeight="1">
      <c r="E32" s="33"/>
      <c r="J32" s="34"/>
      <c r="L32" s="34"/>
    </row>
    <row r="33" ht="15.75" customHeight="1">
      <c r="E33" s="33"/>
      <c r="J33" s="34"/>
      <c r="L33" s="34"/>
    </row>
    <row r="34" ht="15.75" customHeight="1">
      <c r="E34" s="33"/>
      <c r="J34" s="34"/>
      <c r="L34" s="34"/>
    </row>
    <row r="35" ht="15.75" customHeight="1">
      <c r="E35" s="33"/>
      <c r="J35" s="34"/>
      <c r="L35" s="34"/>
    </row>
    <row r="36" ht="15.75" customHeight="1">
      <c r="E36" s="33"/>
      <c r="J36" s="34"/>
      <c r="L36" s="34"/>
    </row>
    <row r="37" ht="15.75" customHeight="1">
      <c r="E37" s="33"/>
      <c r="J37" s="34"/>
      <c r="L37" s="34"/>
    </row>
    <row r="38" ht="15.75" customHeight="1">
      <c r="E38" s="33"/>
      <c r="J38" s="34"/>
      <c r="L38" s="34"/>
    </row>
    <row r="39" ht="15.75" customHeight="1">
      <c r="E39" s="33"/>
      <c r="J39" s="34"/>
      <c r="L39" s="34"/>
    </row>
    <row r="40" ht="15.75" customHeight="1">
      <c r="E40" s="33"/>
      <c r="J40" s="34"/>
      <c r="L40" s="34"/>
    </row>
    <row r="41" ht="15.75" customHeight="1">
      <c r="E41" s="33"/>
      <c r="J41" s="34"/>
      <c r="L41" s="34"/>
    </row>
    <row r="42" ht="15.75" customHeight="1">
      <c r="E42" s="33"/>
      <c r="J42" s="34"/>
      <c r="L42" s="34"/>
    </row>
    <row r="43" ht="15.75" customHeight="1">
      <c r="E43" s="33"/>
      <c r="J43" s="34"/>
      <c r="L43" s="34"/>
    </row>
    <row r="44" ht="15.75" customHeight="1">
      <c r="E44" s="33"/>
      <c r="J44" s="34"/>
      <c r="L44" s="34"/>
    </row>
    <row r="45" ht="15.75" customHeight="1">
      <c r="E45" s="33"/>
      <c r="J45" s="34"/>
      <c r="L45" s="34"/>
    </row>
    <row r="46" ht="15.75" customHeight="1">
      <c r="E46" s="33"/>
      <c r="J46" s="34"/>
      <c r="L46" s="34"/>
    </row>
    <row r="47" ht="15.75" customHeight="1">
      <c r="E47" s="33"/>
      <c r="J47" s="34"/>
      <c r="L47" s="34"/>
    </row>
    <row r="48" ht="15.75" customHeight="1">
      <c r="E48" s="33"/>
      <c r="J48" s="34"/>
      <c r="L48" s="34"/>
    </row>
    <row r="49" ht="15.75" customHeight="1">
      <c r="E49" s="33"/>
      <c r="J49" s="34"/>
      <c r="L49" s="34"/>
    </row>
    <row r="50" ht="15.75" customHeight="1">
      <c r="E50" s="33"/>
      <c r="J50" s="34"/>
      <c r="L50" s="34"/>
    </row>
    <row r="51" ht="15.75" customHeight="1">
      <c r="E51" s="33"/>
      <c r="J51" s="34"/>
      <c r="L51" s="34"/>
    </row>
    <row r="52" ht="15.75" customHeight="1">
      <c r="E52" s="33"/>
      <c r="J52" s="34"/>
      <c r="L52" s="34"/>
    </row>
    <row r="53" ht="15.75" customHeight="1">
      <c r="E53" s="33"/>
      <c r="J53" s="34"/>
      <c r="L53" s="34"/>
    </row>
    <row r="54" ht="15.75" customHeight="1">
      <c r="E54" s="33"/>
      <c r="J54" s="34"/>
      <c r="L54" s="34"/>
    </row>
    <row r="55" ht="15.75" customHeight="1">
      <c r="E55" s="33"/>
      <c r="J55" s="34"/>
      <c r="L55" s="34"/>
    </row>
    <row r="56" ht="15.75" customHeight="1">
      <c r="E56" s="33"/>
      <c r="J56" s="34"/>
      <c r="L56" s="34"/>
    </row>
    <row r="57" ht="15.75" customHeight="1">
      <c r="E57" s="33"/>
      <c r="J57" s="34"/>
      <c r="L57" s="34"/>
    </row>
    <row r="58" ht="15.75" customHeight="1">
      <c r="E58" s="33"/>
      <c r="J58" s="34"/>
      <c r="L58" s="34"/>
    </row>
    <row r="59" ht="15.75" customHeight="1">
      <c r="E59" s="33"/>
      <c r="J59" s="34"/>
      <c r="L59" s="34"/>
    </row>
    <row r="60" ht="15.75" customHeight="1">
      <c r="E60" s="33"/>
      <c r="J60" s="34"/>
      <c r="L60" s="34"/>
    </row>
    <row r="61" ht="15.75" customHeight="1">
      <c r="E61" s="33"/>
      <c r="J61" s="34"/>
      <c r="L61" s="34"/>
    </row>
    <row r="62" ht="15.75" customHeight="1">
      <c r="E62" s="33"/>
      <c r="J62" s="34"/>
      <c r="L62" s="34"/>
    </row>
    <row r="63" ht="15.75" customHeight="1">
      <c r="E63" s="33"/>
      <c r="J63" s="34"/>
      <c r="L63" s="34"/>
    </row>
    <row r="64" ht="15.75" customHeight="1">
      <c r="E64" s="33"/>
      <c r="J64" s="34"/>
      <c r="L64" s="34"/>
    </row>
    <row r="65" ht="15.75" customHeight="1">
      <c r="E65" s="33"/>
      <c r="J65" s="34"/>
      <c r="L65" s="34"/>
    </row>
    <row r="66" ht="15.75" customHeight="1">
      <c r="E66" s="33"/>
      <c r="J66" s="34"/>
      <c r="L66" s="34"/>
    </row>
    <row r="67" ht="15.75" customHeight="1">
      <c r="E67" s="33"/>
      <c r="J67" s="34"/>
      <c r="L67" s="34"/>
    </row>
    <row r="68" ht="15.75" customHeight="1">
      <c r="E68" s="33"/>
      <c r="J68" s="34"/>
      <c r="L68" s="34"/>
    </row>
    <row r="69" ht="15.75" customHeight="1">
      <c r="E69" s="33"/>
      <c r="J69" s="34"/>
      <c r="L69" s="34"/>
    </row>
    <row r="70" ht="15.75" customHeight="1">
      <c r="E70" s="33"/>
      <c r="J70" s="34"/>
      <c r="L70" s="34"/>
    </row>
    <row r="71" ht="15.75" customHeight="1">
      <c r="E71" s="33"/>
      <c r="J71" s="34"/>
      <c r="L71" s="34"/>
    </row>
    <row r="72" ht="15.75" customHeight="1">
      <c r="E72" s="33"/>
      <c r="J72" s="34"/>
      <c r="L72" s="34"/>
    </row>
    <row r="73" ht="15.75" customHeight="1">
      <c r="E73" s="33"/>
      <c r="J73" s="34"/>
      <c r="L73" s="34"/>
    </row>
    <row r="74" ht="15.75" customHeight="1">
      <c r="E74" s="33"/>
      <c r="J74" s="34"/>
      <c r="L74" s="34"/>
    </row>
    <row r="75" ht="15.75" customHeight="1">
      <c r="E75" s="33"/>
      <c r="J75" s="34"/>
      <c r="L75" s="34"/>
    </row>
    <row r="76" ht="15.75" customHeight="1">
      <c r="E76" s="33"/>
      <c r="J76" s="34"/>
      <c r="L76" s="34"/>
    </row>
    <row r="77" ht="15.75" customHeight="1">
      <c r="E77" s="33"/>
      <c r="J77" s="34"/>
      <c r="L77" s="34"/>
    </row>
    <row r="78" ht="15.75" customHeight="1">
      <c r="E78" s="33"/>
      <c r="J78" s="34"/>
      <c r="L78" s="34"/>
    </row>
    <row r="79" ht="15.75" customHeight="1">
      <c r="E79" s="33"/>
      <c r="J79" s="34"/>
      <c r="L79" s="34"/>
    </row>
    <row r="80" ht="15.75" customHeight="1">
      <c r="E80" s="33"/>
      <c r="J80" s="34"/>
      <c r="L80" s="34"/>
    </row>
    <row r="81" ht="15.75" customHeight="1">
      <c r="E81" s="33"/>
      <c r="J81" s="34"/>
      <c r="L81" s="34"/>
    </row>
    <row r="82" ht="15.75" customHeight="1">
      <c r="E82" s="33"/>
      <c r="J82" s="34"/>
      <c r="L82" s="34"/>
    </row>
    <row r="83" ht="15.75" customHeight="1">
      <c r="E83" s="33"/>
      <c r="J83" s="34"/>
      <c r="L83" s="34"/>
    </row>
    <row r="84" ht="15.75" customHeight="1">
      <c r="E84" s="33"/>
      <c r="J84" s="34"/>
      <c r="L84" s="34"/>
    </row>
    <row r="85" ht="15.75" customHeight="1">
      <c r="E85" s="33"/>
      <c r="J85" s="34"/>
      <c r="L85" s="34"/>
    </row>
    <row r="86" ht="15.75" customHeight="1">
      <c r="E86" s="33"/>
      <c r="J86" s="34"/>
      <c r="L86" s="34"/>
    </row>
    <row r="87" ht="15.75" customHeight="1">
      <c r="E87" s="33"/>
      <c r="J87" s="34"/>
      <c r="L87" s="34"/>
    </row>
    <row r="88" ht="15.75" customHeight="1">
      <c r="E88" s="33"/>
      <c r="J88" s="34"/>
      <c r="L88" s="34"/>
    </row>
    <row r="89" ht="15.75" customHeight="1">
      <c r="E89" s="33"/>
      <c r="J89" s="34"/>
      <c r="L89" s="34"/>
    </row>
    <row r="90" ht="15.75" customHeight="1">
      <c r="E90" s="33"/>
      <c r="J90" s="34"/>
      <c r="L90" s="34"/>
    </row>
    <row r="91" ht="15.75" customHeight="1">
      <c r="E91" s="33"/>
      <c r="J91" s="34"/>
      <c r="L91" s="34"/>
    </row>
    <row r="92" ht="15.75" customHeight="1">
      <c r="E92" s="33"/>
      <c r="J92" s="34"/>
      <c r="L92" s="34"/>
    </row>
    <row r="93" ht="15.75" customHeight="1">
      <c r="E93" s="33"/>
      <c r="J93" s="34"/>
      <c r="L93" s="34"/>
    </row>
    <row r="94" ht="15.75" customHeight="1">
      <c r="E94" s="33"/>
      <c r="J94" s="34"/>
      <c r="L94" s="34"/>
    </row>
    <row r="95" ht="15.75" customHeight="1">
      <c r="E95" s="33"/>
      <c r="J95" s="34"/>
      <c r="L95" s="34"/>
    </row>
    <row r="96" ht="15.75" customHeight="1">
      <c r="E96" s="33"/>
      <c r="J96" s="34"/>
      <c r="L96" s="34"/>
    </row>
    <row r="97" ht="15.75" customHeight="1">
      <c r="E97" s="33"/>
      <c r="J97" s="34"/>
      <c r="L97" s="34"/>
    </row>
    <row r="98" ht="15.75" customHeight="1">
      <c r="E98" s="33"/>
      <c r="J98" s="34"/>
      <c r="L98" s="34"/>
    </row>
    <row r="99" ht="15.75" customHeight="1">
      <c r="E99" s="33"/>
      <c r="J99" s="34"/>
      <c r="L99" s="34"/>
    </row>
    <row r="100" ht="15.75" customHeight="1">
      <c r="E100" s="33"/>
      <c r="J100" s="34"/>
      <c r="L100" s="34"/>
    </row>
    <row r="101" ht="15.75" customHeight="1">
      <c r="E101" s="33"/>
      <c r="J101" s="34"/>
      <c r="L101" s="34"/>
    </row>
    <row r="102" ht="15.75" customHeight="1">
      <c r="E102" s="33"/>
      <c r="J102" s="34"/>
      <c r="L102" s="34"/>
    </row>
    <row r="103" ht="15.75" customHeight="1">
      <c r="E103" s="33"/>
      <c r="J103" s="34"/>
      <c r="L103" s="34"/>
    </row>
    <row r="104" ht="15.75" customHeight="1">
      <c r="E104" s="33"/>
      <c r="J104" s="34"/>
      <c r="L104" s="34"/>
    </row>
    <row r="105" ht="15.75" customHeight="1">
      <c r="E105" s="33"/>
      <c r="J105" s="34"/>
      <c r="L105" s="34"/>
    </row>
    <row r="106" ht="15.75" customHeight="1">
      <c r="E106" s="33"/>
      <c r="J106" s="34"/>
      <c r="L106" s="34"/>
    </row>
    <row r="107" ht="15.75" customHeight="1">
      <c r="E107" s="33"/>
      <c r="J107" s="34"/>
      <c r="L107" s="34"/>
    </row>
    <row r="108" ht="15.75" customHeight="1">
      <c r="E108" s="33"/>
      <c r="J108" s="34"/>
      <c r="L108" s="34"/>
    </row>
    <row r="109" ht="15.75" customHeight="1">
      <c r="E109" s="33"/>
      <c r="J109" s="34"/>
      <c r="L109" s="34"/>
    </row>
    <row r="110" ht="15.75" customHeight="1">
      <c r="E110" s="33"/>
      <c r="J110" s="34"/>
      <c r="L110" s="34"/>
    </row>
    <row r="111" ht="15.75" customHeight="1">
      <c r="E111" s="33"/>
      <c r="J111" s="34"/>
      <c r="L111" s="34"/>
    </row>
    <row r="112" ht="15.75" customHeight="1">
      <c r="E112" s="33"/>
      <c r="J112" s="34"/>
      <c r="L112" s="34"/>
    </row>
    <row r="113" ht="15.75" customHeight="1">
      <c r="E113" s="33"/>
      <c r="J113" s="34"/>
      <c r="L113" s="34"/>
    </row>
    <row r="114" ht="15.75" customHeight="1">
      <c r="E114" s="33"/>
      <c r="J114" s="34"/>
      <c r="L114" s="34"/>
    </row>
    <row r="115" ht="15.75" customHeight="1">
      <c r="E115" s="33"/>
      <c r="J115" s="34"/>
      <c r="L115" s="34"/>
    </row>
    <row r="116" ht="15.75" customHeight="1">
      <c r="E116" s="33"/>
      <c r="J116" s="34"/>
      <c r="L116" s="34"/>
    </row>
    <row r="117" ht="15.75" customHeight="1">
      <c r="E117" s="33"/>
      <c r="J117" s="34"/>
      <c r="L117" s="34"/>
    </row>
    <row r="118" ht="15.75" customHeight="1">
      <c r="E118" s="33"/>
      <c r="J118" s="34"/>
      <c r="L118" s="34"/>
    </row>
    <row r="119" ht="15.75" customHeight="1">
      <c r="E119" s="33"/>
      <c r="J119" s="34"/>
      <c r="L119" s="34"/>
    </row>
    <row r="120" ht="15.75" customHeight="1">
      <c r="E120" s="33"/>
      <c r="J120" s="34"/>
      <c r="L120" s="34"/>
    </row>
    <row r="121" ht="15.75" customHeight="1">
      <c r="E121" s="33"/>
      <c r="J121" s="34"/>
      <c r="L121" s="34"/>
    </row>
    <row r="122" ht="15.75" customHeight="1">
      <c r="E122" s="33"/>
      <c r="J122" s="34"/>
      <c r="L122" s="34"/>
    </row>
    <row r="123" ht="15.75" customHeight="1">
      <c r="E123" s="33"/>
      <c r="J123" s="34"/>
      <c r="L123" s="34"/>
    </row>
    <row r="124" ht="15.75" customHeight="1">
      <c r="E124" s="33"/>
      <c r="J124" s="34"/>
      <c r="L124" s="34"/>
    </row>
    <row r="125" ht="15.75" customHeight="1">
      <c r="E125" s="33"/>
      <c r="J125" s="34"/>
      <c r="L125" s="34"/>
    </row>
    <row r="126" ht="15.75" customHeight="1">
      <c r="E126" s="33"/>
      <c r="J126" s="34"/>
      <c r="L126" s="34"/>
    </row>
    <row r="127" ht="15.75" customHeight="1">
      <c r="E127" s="33"/>
      <c r="J127" s="34"/>
      <c r="L127" s="34"/>
    </row>
    <row r="128" ht="15.75" customHeight="1">
      <c r="E128" s="33"/>
      <c r="J128" s="34"/>
      <c r="L128" s="34"/>
    </row>
    <row r="129" ht="15.75" customHeight="1">
      <c r="E129" s="33"/>
      <c r="J129" s="34"/>
      <c r="L129" s="34"/>
    </row>
    <row r="130" ht="15.75" customHeight="1">
      <c r="E130" s="33"/>
      <c r="J130" s="34"/>
      <c r="L130" s="34"/>
    </row>
    <row r="131" ht="15.75" customHeight="1">
      <c r="E131" s="33"/>
      <c r="J131" s="34"/>
      <c r="L131" s="34"/>
    </row>
    <row r="132" ht="15.75" customHeight="1">
      <c r="E132" s="33"/>
      <c r="J132" s="34"/>
      <c r="L132" s="34"/>
    </row>
    <row r="133" ht="15.75" customHeight="1">
      <c r="E133" s="33"/>
      <c r="J133" s="34"/>
      <c r="L133" s="34"/>
    </row>
    <row r="134" ht="15.75" customHeight="1">
      <c r="E134" s="33"/>
      <c r="J134" s="34"/>
      <c r="L134" s="34"/>
    </row>
    <row r="135" ht="15.75" customHeight="1">
      <c r="E135" s="33"/>
      <c r="J135" s="34"/>
      <c r="L135" s="34"/>
    </row>
    <row r="136" ht="15.75" customHeight="1">
      <c r="E136" s="33"/>
      <c r="J136" s="34"/>
      <c r="L136" s="34"/>
    </row>
    <row r="137" ht="15.75" customHeight="1">
      <c r="E137" s="33"/>
      <c r="J137" s="34"/>
      <c r="L137" s="34"/>
    </row>
    <row r="138" ht="15.75" customHeight="1">
      <c r="E138" s="33"/>
      <c r="J138" s="34"/>
      <c r="L138" s="34"/>
    </row>
    <row r="139" ht="15.75" customHeight="1">
      <c r="E139" s="33"/>
      <c r="J139" s="34"/>
      <c r="L139" s="34"/>
    </row>
    <row r="140" ht="15.75" customHeight="1">
      <c r="E140" s="33"/>
      <c r="J140" s="34"/>
      <c r="L140" s="34"/>
    </row>
    <row r="141" ht="15.75" customHeight="1">
      <c r="E141" s="33"/>
      <c r="J141" s="34"/>
      <c r="L141" s="34"/>
    </row>
    <row r="142" ht="15.75" customHeight="1">
      <c r="E142" s="33"/>
      <c r="J142" s="34"/>
      <c r="L142" s="34"/>
    </row>
    <row r="143" ht="15.75" customHeight="1">
      <c r="E143" s="33"/>
      <c r="J143" s="34"/>
      <c r="L143" s="34"/>
    </row>
    <row r="144" ht="15.75" customHeight="1">
      <c r="E144" s="33"/>
      <c r="J144" s="34"/>
      <c r="L144" s="34"/>
    </row>
    <row r="145" ht="15.75" customHeight="1">
      <c r="E145" s="33"/>
      <c r="J145" s="34"/>
      <c r="L145" s="34"/>
    </row>
    <row r="146" ht="15.75" customHeight="1">
      <c r="E146" s="33"/>
      <c r="J146" s="34"/>
      <c r="L146" s="34"/>
    </row>
    <row r="147" ht="15.75" customHeight="1">
      <c r="E147" s="33"/>
      <c r="J147" s="34"/>
      <c r="L147" s="34"/>
    </row>
    <row r="148" ht="15.75" customHeight="1">
      <c r="E148" s="33"/>
      <c r="J148" s="34"/>
      <c r="L148" s="34"/>
    </row>
    <row r="149" ht="15.75" customHeight="1">
      <c r="E149" s="33"/>
      <c r="J149" s="34"/>
      <c r="L149" s="34"/>
    </row>
    <row r="150" ht="15.75" customHeight="1">
      <c r="E150" s="33"/>
      <c r="J150" s="34"/>
      <c r="L150" s="34"/>
    </row>
    <row r="151" ht="15.75" customHeight="1">
      <c r="E151" s="33"/>
      <c r="J151" s="34"/>
      <c r="L151" s="34"/>
    </row>
    <row r="152" ht="15.75" customHeight="1">
      <c r="E152" s="33"/>
      <c r="J152" s="34"/>
      <c r="L152" s="34"/>
    </row>
    <row r="153" ht="15.75" customHeight="1">
      <c r="E153" s="33"/>
      <c r="J153" s="34"/>
      <c r="L153" s="34"/>
    </row>
    <row r="154" ht="15.75" customHeight="1">
      <c r="E154" s="33"/>
      <c r="J154" s="34"/>
      <c r="L154" s="34"/>
    </row>
    <row r="155" ht="15.75" customHeight="1">
      <c r="E155" s="33"/>
      <c r="J155" s="34"/>
      <c r="L155" s="34"/>
    </row>
    <row r="156" ht="15.75" customHeight="1">
      <c r="E156" s="33"/>
      <c r="J156" s="34"/>
      <c r="L156" s="34"/>
    </row>
    <row r="157" ht="15.75" customHeight="1">
      <c r="E157" s="33"/>
      <c r="J157" s="34"/>
      <c r="L157" s="34"/>
    </row>
    <row r="158" ht="15.75" customHeight="1">
      <c r="E158" s="33"/>
      <c r="J158" s="34"/>
      <c r="L158" s="34"/>
    </row>
    <row r="159" ht="15.75" customHeight="1">
      <c r="E159" s="33"/>
      <c r="J159" s="34"/>
      <c r="L159" s="34"/>
    </row>
    <row r="160" ht="15.75" customHeight="1">
      <c r="E160" s="33"/>
      <c r="J160" s="34"/>
      <c r="L160" s="34"/>
    </row>
    <row r="161" ht="15.75" customHeight="1">
      <c r="E161" s="33"/>
      <c r="J161" s="34"/>
      <c r="L161" s="34"/>
    </row>
    <row r="162" ht="15.75" customHeight="1">
      <c r="E162" s="33"/>
      <c r="J162" s="34"/>
      <c r="L162" s="34"/>
    </row>
    <row r="163" ht="15.75" customHeight="1">
      <c r="E163" s="33"/>
      <c r="J163" s="34"/>
      <c r="L163" s="34"/>
    </row>
    <row r="164" ht="15.75" customHeight="1">
      <c r="E164" s="33"/>
      <c r="J164" s="34"/>
      <c r="L164" s="34"/>
    </row>
    <row r="165" ht="15.75" customHeight="1">
      <c r="E165" s="33"/>
      <c r="J165" s="34"/>
      <c r="L165" s="34"/>
    </row>
    <row r="166" ht="15.75" customHeight="1">
      <c r="E166" s="33"/>
      <c r="J166" s="34"/>
      <c r="L166" s="34"/>
    </row>
    <row r="167" ht="15.75" customHeight="1">
      <c r="E167" s="33"/>
      <c r="J167" s="34"/>
      <c r="L167" s="34"/>
    </row>
    <row r="168" ht="15.75" customHeight="1">
      <c r="E168" s="33"/>
      <c r="J168" s="34"/>
      <c r="L168" s="34"/>
    </row>
    <row r="169" ht="15.75" customHeight="1">
      <c r="E169" s="33"/>
      <c r="J169" s="34"/>
      <c r="L169" s="34"/>
    </row>
    <row r="170" ht="15.75" customHeight="1">
      <c r="E170" s="33"/>
      <c r="J170" s="34"/>
      <c r="L170" s="34"/>
    </row>
    <row r="171" ht="15.75" customHeight="1">
      <c r="E171" s="33"/>
      <c r="J171" s="34"/>
      <c r="L171" s="34"/>
    </row>
    <row r="172" ht="15.75" customHeight="1">
      <c r="E172" s="33"/>
      <c r="J172" s="34"/>
      <c r="L172" s="34"/>
    </row>
    <row r="173" ht="15.75" customHeight="1">
      <c r="E173" s="33"/>
      <c r="J173" s="34"/>
      <c r="L173" s="34"/>
    </row>
    <row r="174" ht="15.75" customHeight="1">
      <c r="E174" s="33"/>
      <c r="J174" s="34"/>
      <c r="L174" s="34"/>
    </row>
    <row r="175" ht="15.75" customHeight="1">
      <c r="E175" s="33"/>
      <c r="J175" s="34"/>
      <c r="L175" s="34"/>
    </row>
    <row r="176" ht="15.75" customHeight="1">
      <c r="E176" s="33"/>
      <c r="J176" s="34"/>
      <c r="L176" s="34"/>
    </row>
    <row r="177" ht="15.75" customHeight="1">
      <c r="E177" s="33"/>
      <c r="J177" s="34"/>
      <c r="L177" s="34"/>
    </row>
    <row r="178" ht="15.75" customHeight="1">
      <c r="E178" s="33"/>
      <c r="J178" s="34"/>
      <c r="L178" s="34"/>
    </row>
    <row r="179" ht="15.75" customHeight="1">
      <c r="E179" s="33"/>
      <c r="J179" s="34"/>
      <c r="L179" s="34"/>
    </row>
    <row r="180" ht="15.75" customHeight="1">
      <c r="E180" s="33"/>
      <c r="J180" s="34"/>
      <c r="L180" s="34"/>
    </row>
    <row r="181" ht="15.75" customHeight="1">
      <c r="E181" s="33"/>
      <c r="J181" s="34"/>
      <c r="L181" s="34"/>
    </row>
    <row r="182" ht="15.75" customHeight="1">
      <c r="E182" s="33"/>
      <c r="J182" s="34"/>
      <c r="L182" s="34"/>
    </row>
    <row r="183" ht="15.75" customHeight="1">
      <c r="E183" s="33"/>
      <c r="J183" s="34"/>
      <c r="L183" s="34"/>
    </row>
    <row r="184" ht="15.75" customHeight="1">
      <c r="E184" s="33"/>
      <c r="J184" s="34"/>
      <c r="L184" s="34"/>
    </row>
    <row r="185" ht="15.75" customHeight="1">
      <c r="E185" s="33"/>
      <c r="J185" s="34"/>
      <c r="L185" s="34"/>
    </row>
    <row r="186" ht="15.75" customHeight="1">
      <c r="E186" s="33"/>
      <c r="J186" s="34"/>
      <c r="L186" s="34"/>
    </row>
    <row r="187" ht="15.75" customHeight="1">
      <c r="E187" s="33"/>
      <c r="J187" s="34"/>
      <c r="L187" s="34"/>
    </row>
    <row r="188" ht="15.75" customHeight="1">
      <c r="E188" s="33"/>
      <c r="J188" s="34"/>
      <c r="L188" s="34"/>
    </row>
    <row r="189" ht="15.75" customHeight="1">
      <c r="E189" s="33"/>
      <c r="J189" s="34"/>
      <c r="L189" s="34"/>
    </row>
    <row r="190" ht="15.75" customHeight="1">
      <c r="E190" s="33"/>
      <c r="J190" s="34"/>
      <c r="L190" s="34"/>
    </row>
    <row r="191" ht="15.75" customHeight="1">
      <c r="E191" s="33"/>
      <c r="J191" s="34"/>
      <c r="L191" s="34"/>
    </row>
    <row r="192" ht="15.75" customHeight="1">
      <c r="E192" s="33"/>
      <c r="J192" s="34"/>
      <c r="L192" s="34"/>
    </row>
    <row r="193" ht="15.75" customHeight="1">
      <c r="E193" s="33"/>
      <c r="J193" s="34"/>
      <c r="L193" s="34"/>
    </row>
    <row r="194" ht="15.75" customHeight="1">
      <c r="E194" s="33"/>
      <c r="J194" s="34"/>
      <c r="L194" s="34"/>
    </row>
    <row r="195" ht="15.75" customHeight="1">
      <c r="E195" s="33"/>
      <c r="J195" s="34"/>
      <c r="L195" s="34"/>
    </row>
    <row r="196" ht="15.75" customHeight="1">
      <c r="E196" s="33"/>
      <c r="J196" s="34"/>
      <c r="L196" s="34"/>
    </row>
    <row r="197" ht="15.75" customHeight="1">
      <c r="E197" s="33"/>
      <c r="J197" s="34"/>
      <c r="L197" s="34"/>
    </row>
    <row r="198" ht="15.75" customHeight="1">
      <c r="E198" s="33"/>
      <c r="J198" s="34"/>
      <c r="L198" s="34"/>
    </row>
    <row r="199" ht="15.75" customHeight="1">
      <c r="E199" s="33"/>
      <c r="J199" s="34"/>
      <c r="L199" s="34"/>
    </row>
    <row r="200" ht="15.75" customHeight="1">
      <c r="E200" s="33"/>
      <c r="J200" s="34"/>
      <c r="L200" s="34"/>
    </row>
    <row r="201" ht="15.75" customHeight="1">
      <c r="E201" s="33"/>
      <c r="J201" s="34"/>
      <c r="L201" s="34"/>
    </row>
    <row r="202" ht="15.75" customHeight="1">
      <c r="E202" s="33"/>
      <c r="J202" s="34"/>
      <c r="L202" s="34"/>
    </row>
    <row r="203" ht="15.75" customHeight="1">
      <c r="E203" s="33"/>
      <c r="J203" s="34"/>
      <c r="L203" s="34"/>
    </row>
    <row r="204" ht="15.75" customHeight="1">
      <c r="E204" s="33"/>
      <c r="J204" s="34"/>
      <c r="L204" s="34"/>
    </row>
    <row r="205" ht="15.75" customHeight="1">
      <c r="E205" s="33"/>
      <c r="J205" s="34"/>
      <c r="L205" s="34"/>
    </row>
    <row r="206" ht="15.75" customHeight="1">
      <c r="E206" s="33"/>
      <c r="J206" s="34"/>
      <c r="L206" s="34"/>
    </row>
    <row r="207" ht="15.75" customHeight="1">
      <c r="E207" s="33"/>
      <c r="J207" s="34"/>
      <c r="L207" s="34"/>
    </row>
    <row r="208" ht="15.75" customHeight="1">
      <c r="E208" s="33"/>
      <c r="J208" s="34"/>
      <c r="L208" s="34"/>
    </row>
    <row r="209" ht="15.75" customHeight="1">
      <c r="E209" s="33"/>
      <c r="J209" s="34"/>
      <c r="L209" s="34"/>
    </row>
    <row r="210" ht="15.75" customHeight="1">
      <c r="E210" s="33"/>
      <c r="J210" s="34"/>
      <c r="L210" s="34"/>
    </row>
    <row r="211" ht="15.75" customHeight="1">
      <c r="E211" s="33"/>
      <c r="J211" s="34"/>
      <c r="L211" s="34"/>
    </row>
    <row r="212" ht="15.75" customHeight="1">
      <c r="E212" s="33"/>
      <c r="J212" s="34"/>
      <c r="L212" s="34"/>
    </row>
    <row r="213" ht="15.75" customHeight="1">
      <c r="E213" s="33"/>
      <c r="J213" s="34"/>
      <c r="L213" s="34"/>
    </row>
    <row r="214" ht="15.75" customHeight="1">
      <c r="E214" s="33"/>
      <c r="J214" s="34"/>
      <c r="L214" s="34"/>
    </row>
    <row r="215" ht="15.75" customHeight="1">
      <c r="E215" s="33"/>
      <c r="J215" s="34"/>
      <c r="L215" s="34"/>
    </row>
    <row r="216" ht="15.75" customHeight="1">
      <c r="E216" s="33"/>
      <c r="J216" s="34"/>
      <c r="L216" s="34"/>
    </row>
    <row r="217" ht="15.75" customHeight="1">
      <c r="E217" s="33"/>
      <c r="J217" s="34"/>
      <c r="L217" s="34"/>
    </row>
    <row r="218" ht="15.75" customHeight="1">
      <c r="E218" s="33"/>
      <c r="J218" s="34"/>
      <c r="L218" s="34"/>
    </row>
    <row r="219" ht="15.75" customHeight="1">
      <c r="E219" s="33"/>
      <c r="J219" s="34"/>
      <c r="L219" s="34"/>
    </row>
    <row r="220" ht="15.75" customHeight="1">
      <c r="E220" s="33"/>
      <c r="J220" s="34"/>
      <c r="L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9 N2:N9">
      <formula1>"CLOSED PAID,ACTIVE,AWAITING PAYMENT,N/A"</formula1>
    </dataValidation>
  </dataValidations>
  <drawing r:id="rId1"/>
  <tableParts count="1">
    <tablePart r:id="rId3"/>
  </tableParts>
</worksheet>
</file>